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Spot check" sheetId="2" state="visible" r:id="rId2"/>
    <sheet xmlns:r="http://schemas.openxmlformats.org/officeDocument/2006/relationships" name="Status" sheetId="3" state="visible" r:id="rId3"/>
  </sheets>
  <definedNames/>
  <calcPr calcId="124519" fullCalcOnLoad="1"/>
</workbook>
</file>

<file path=xl/styles.xml><?xml version="1.0" encoding="utf-8"?>
<styleSheet xmlns="http://schemas.openxmlformats.org/spreadsheetml/2006/main">
  <numFmts count="1">
    <numFmt numFmtId="164" formatCode="yyyy-mm-dd"/>
  </numFmts>
  <fonts count="5">
    <font>
      <name val="Calibri"/>
      <family val="2"/>
      <color theme="1"/>
      <sz val="11"/>
      <scheme val="minor"/>
    </font>
    <font>
      <name val="Arial"/>
      <b val="1"/>
    </font>
    <font>
      <name val="Arial"/>
    </font>
    <font>
      <name val="Arial"/>
      <b val="1"/>
      <color rgb="00FFFFFF"/>
    </font>
    <font>
      <name val="Arial"/>
      <i val="1"/>
    </font>
  </fonts>
  <fills count="5">
    <fill>
      <patternFill/>
    </fill>
    <fill>
      <patternFill patternType="gray125"/>
    </fill>
    <fill>
      <patternFill patternType="solid">
        <fgColor rgb="001F4E5A"/>
      </patternFill>
    </fill>
    <fill>
      <patternFill patternType="solid">
        <fgColor rgb="00EEF1F2"/>
      </patternFill>
    </fill>
    <fill>
      <patternFill patternType="solid">
        <fgColor rgb="00FFFF00"/>
      </patternFill>
    </fill>
  </fills>
  <borders count="2">
    <border>
      <left/>
      <right/>
      <top/>
      <bottom/>
      <diagonal/>
    </border>
    <border>
      <left style="thin">
        <color rgb="00B7BEC2"/>
      </left>
      <right style="thin">
        <color rgb="00B7BEC2"/>
      </right>
      <top style="thin">
        <color rgb="00B7BEC2"/>
      </top>
      <bottom style="thin">
        <color rgb="00B7BEC2"/>
      </bottom>
    </border>
  </borders>
  <cellStyleXfs count="1">
    <xf numFmtId="0" fontId="0" fillId="0" borderId="0"/>
  </cellStyleXfs>
  <cellXfs count="12">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1" applyAlignment="1" pivotButton="0" quotePrefix="0" xfId="0">
      <alignment vertical="top" wrapText="1"/>
    </xf>
    <xf numFmtId="0" fontId="4" fillId="3"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xf numFmtId="164" fontId="2" fillId="4" borderId="1" applyAlignment="1" pivotButton="0" quotePrefix="0" xfId="0">
      <alignment vertical="top" wrapText="1"/>
    </xf>
    <xf numFmtId="0" fontId="3" fillId="2" borderId="0" pivotButton="0" quotePrefix="0" xfId="0"/>
    <xf numFmtId="0" fontId="2" fillId="0" borderId="0" pivotButton="0" quotePrefix="0" xfId="0"/>
    <xf numFmtId="0" fontId="1"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NDA review v2</author>
  </authors>
  <commentList>
    <comment ref="J1" authorId="0" shapeId="0">
      <text>
        <t>What policy v2.1 decided. 'matches' and 'acceptable' do not reach a lawyer.</t>
      </text>
    </comment>
    <comment ref="M1" authorId="0" shapeId="0">
      <text>
        <t>Fill in: matches, acceptable or deviation. 'deviation' overturns the tool's pass.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110" customWidth="1" min="1" max="1"/>
    <col width="22" customWidth="1" min="2" max="2"/>
    <col width="22" customWidth="1" min="3" max="3"/>
    <col width="22" customWidth="1" min="4" max="4"/>
    <col width="22" customWidth="1" min="5" max="5"/>
  </cols>
  <sheetData>
    <row r="1">
      <c r="A1" s="1" t="inlineStr">
        <is>
          <t>NDA review v2.1: lawyer spot-check</t>
        </is>
      </c>
    </row>
    <row r="2">
      <c r="A2" s="2" t="inlineStr"/>
    </row>
    <row r="3">
      <c r="A3" s="1" t="inlineStr">
        <is>
          <t>Why you are asked</t>
        </is>
      </c>
    </row>
    <row r="4">
      <c r="A4" s="2" t="inlineStr">
        <is>
          <t>Policy v2.1 reduces the review load. It passes 8 clauses that the earlier versions sent to a lawyer. Please confirm or overturn each one. v2.1 becomes the default only after this check.</t>
        </is>
      </c>
    </row>
    <row r="5">
      <c r="A5" s="2" t="inlineStr"/>
    </row>
    <row r="6">
      <c r="A6" s="1" t="inlineStr">
        <is>
          <t>What to do</t>
        </is>
      </c>
    </row>
    <row r="7">
      <c r="A7" s="2" t="inlineStr">
        <is>
          <t>1. Open the sheet 'Spot check'. Each row is one clause.</t>
        </is>
      </c>
    </row>
    <row r="8">
      <c r="A8" s="2" t="inlineStr">
        <is>
          <t>2. Read the clause text (column I) against the playbook position (columns G and H).</t>
        </is>
      </c>
    </row>
    <row r="9">
      <c r="A9" s="2" t="inlineStr">
        <is>
          <t>3. Fill in the yellow cells only: your verdict (M), whether you want clauses like this in your queue (N), a short note (O), your name (P) and the date (Q).</t>
        </is>
      </c>
    </row>
    <row r="10">
      <c r="A10" s="2" t="inlineStr">
        <is>
          <t>4. Do not change any other cell. Columns J to L show what the tool and the earlier review said, for reference only.</t>
        </is>
      </c>
    </row>
    <row r="11">
      <c r="A11" s="2" t="inlineStr">
        <is>
          <t>5. Save the file and return it. The import script records your answers in the challenge log.</t>
        </is>
      </c>
    </row>
    <row r="12">
      <c r="A12" s="2" t="inlineStr"/>
    </row>
    <row r="13">
      <c r="A13" s="1" t="inlineStr">
        <is>
          <t>Verdict meanings (column M)</t>
        </is>
      </c>
    </row>
    <row r="14">
      <c r="A14" s="2" t="inlineStr">
        <is>
          <t>matches: the clause gives the playbook's preferred position.</t>
        </is>
      </c>
    </row>
    <row r="15">
      <c r="A15" s="2" t="inlineStr">
        <is>
          <t>acceptable: the clause differs, but a listed acceptable fallback fits it.</t>
        </is>
      </c>
    </row>
    <row r="16">
      <c r="A16" s="2" t="inlineStr">
        <is>
          <t>deviation: the clause gives a result that the playbook does not allow. This overturns the tool's pass.</t>
        </is>
      </c>
    </row>
    <row r="17">
      <c r="A17" s="2" t="inlineStr"/>
    </row>
    <row r="18">
      <c r="A18" s="1" t="inlineStr">
        <is>
          <t>What happens next</t>
        </is>
      </c>
    </row>
    <row r="19">
      <c r="A19" s="2" t="inlineStr">
        <is>
          <t>All 8 filled in and no 'deviation': v2.1 becomes the default policy.</t>
        </is>
      </c>
    </row>
    <row r="20">
      <c r="A20" s="2" t="inlineStr">
        <is>
          <t>Any 'deviation': v2.0 stays the default, and the overturned rows go into the threshold review.</t>
        </is>
      </c>
    </row>
    <row r="21">
      <c r="A21" s="2" t="inlineStr">
        <is>
          <t>Column N is for tuning only. It does not block the switch.</t>
        </is>
      </c>
    </row>
    <row r="22">
      <c r="A22" s="2" t="inlineStr"/>
    </row>
    <row r="23">
      <c r="A23" s="1" t="inlineStr">
        <is>
          <t>Example of a filled row (format only, not a real clause)</t>
        </is>
      </c>
    </row>
    <row r="24">
      <c r="A24" s="3" t="inlineStr">
        <is>
          <t>Lawyer verdict (M)</t>
        </is>
      </c>
      <c r="B24" s="3" t="inlineStr">
        <is>
          <t>Want these in my queue? (N)</t>
        </is>
      </c>
      <c r="C24" s="3" t="inlineStr">
        <is>
          <t>Note (O)</t>
        </is>
      </c>
      <c r="D24" s="3" t="inlineStr">
        <is>
          <t>Reviewed by (P)</t>
        </is>
      </c>
      <c r="E24" s="3" t="inlineStr">
        <is>
          <t>Date (Q)</t>
        </is>
      </c>
    </row>
    <row r="25">
      <c r="A25" s="4" t="inlineStr">
        <is>
          <t>deviation</t>
        </is>
      </c>
      <c r="B25" s="4" t="inlineStr">
        <is>
          <t>Yes</t>
        </is>
      </c>
      <c r="C25" s="4" t="inlineStr">
        <is>
          <t>Adds contractors to Representatives without liability for them; outside PB05.</t>
        </is>
      </c>
      <c r="D25" s="4" t="inlineStr">
        <is>
          <t>J. Smith</t>
        </is>
      </c>
      <c r="E25" s="4" t="inlineStr">
        <is>
          <t>2026-10-20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 customWidth="1" min="1" max="1"/>
    <col width="9" customWidth="1" min="2" max="2"/>
    <col width="8" customWidth="1" min="3" max="3"/>
    <col width="7" customWidth="1" min="4" max="4"/>
    <col width="22" customWidth="1" min="5" max="5"/>
    <col width="9" customWidth="1" min="6" max="6"/>
    <col width="34" customWidth="1" min="7" max="7"/>
    <col width="38" customWidth="1" min="8" max="8"/>
    <col width="70" customWidth="1" min="9" max="9"/>
    <col width="11" customWidth="1" min="10" max="10"/>
    <col width="30" customWidth="1" min="11" max="11"/>
    <col width="50" customWidth="1" min="12" max="12"/>
    <col width="15" customWidth="1" min="13" max="13"/>
    <col width="14" customWidth="1" min="14" max="14"/>
    <col width="40" customWidth="1" min="15" max="15"/>
    <col width="16" customWidth="1" min="16" max="16"/>
    <col width="13" customWidth="1" min="17" max="17"/>
  </cols>
  <sheetData>
    <row r="1">
      <c r="A1" s="3" t="inlineStr">
        <is>
          <t>#</t>
        </is>
      </c>
      <c r="B1" s="3" t="inlineStr">
        <is>
          <t>Contract</t>
        </is>
      </c>
      <c r="C1" s="3" t="inlineStr">
        <is>
          <t>Clause</t>
        </is>
      </c>
      <c r="D1" s="3" t="inlineStr">
        <is>
          <t>Rule</t>
        </is>
      </c>
      <c r="E1" s="3" t="inlineStr">
        <is>
          <t>Topic</t>
        </is>
      </c>
      <c r="F1" s="3" t="inlineStr">
        <is>
          <t>Severity</t>
        </is>
      </c>
      <c r="G1" s="3" t="inlineStr">
        <is>
          <t>Playbook: preferred position</t>
        </is>
      </c>
      <c r="H1" s="3" t="inlineStr">
        <is>
          <t>Playbook: acceptable fallbacks</t>
        </is>
      </c>
      <c r="I1" s="3" t="inlineStr">
        <is>
          <t>Clause text (as in the contract, with any tracked edits)</t>
        </is>
      </c>
      <c r="J1" s="3" t="inlineStr">
        <is>
          <t>v2.1 result</t>
        </is>
      </c>
      <c r="K1" s="3" t="inlineStr">
        <is>
          <t>Jev probabilities</t>
        </is>
      </c>
      <c r="L1" s="3" t="inlineStr">
        <is>
          <t>Earlier review (v1 LLM) said</t>
        </is>
      </c>
      <c r="M1" s="3" t="inlineStr">
        <is>
          <t>Lawyer verdict</t>
        </is>
      </c>
      <c r="N1" s="3" t="inlineStr">
        <is>
          <t>Want clauses like this in my queue?</t>
        </is>
      </c>
      <c r="O1" s="3" t="inlineStr">
        <is>
          <t>Note</t>
        </is>
      </c>
      <c r="P1" s="3" t="inlineStr">
        <is>
          <t>Reviewed by</t>
        </is>
      </c>
      <c r="Q1" s="3" t="inlineStr">
        <is>
          <t>Date (YYYY-MM-DD)</t>
        </is>
      </c>
    </row>
    <row r="2" ht="230" customHeight="1">
      <c r="A2" s="5" t="n">
        <v>1</v>
      </c>
      <c r="B2" s="5" t="inlineStr">
        <is>
          <t>C14</t>
        </is>
      </c>
      <c r="C2" s="5" t="inlineStr">
        <is>
          <t>6.1</t>
        </is>
      </c>
      <c r="D2" s="5" t="inlineStr">
        <is>
          <t>PB07</t>
        </is>
      </c>
      <c r="E2" s="5" t="inlineStr">
        <is>
          <t>Return and destruction</t>
        </is>
      </c>
      <c r="F2" s="5" t="inlineStr">
        <is>
          <t>Low</t>
        </is>
      </c>
      <c r="G2" s="5" t="inlineStr">
        <is>
          <t>Return or destroy within 10 Business Days of written request; officer-signed confirmation; exception for automated backups and legally required copies, which stay confidential.</t>
        </is>
      </c>
      <c r="H2" s="5" t="inlineStr">
        <is>
          <t>• Any period of 5 Business Days or more. (ASSUMED)
• Confirmation by email from an authorised person rather than an officer.</t>
        </is>
      </c>
      <c r="I2" s="5" t="inlineStr">
        <is>
          <t>6.1 Subject to Clause 6.2, upon the written demand of the Disclosing Party at any time, or forthwith upon the termination or expiry of this Agreement, the Receiving Party shall:
6.1.1 securely deliver up to the Disclosing Party or, at the Disclosing Party's written direction, permanently delete and destroy all documents, media, software, files and materials containing, embodying or derived from the Confidential Information then in its possession, custody or control; and
6.1.2 provide to the Disclosing Party, within fourteen (14) days of such demand, a formal certificate signed by a duly authorised officer confirming full compliance with the provisions of this Clause 6.1.</t>
        </is>
      </c>
      <c r="J2" s="5" t="inlineStr">
        <is>
          <t>acceptable</t>
        </is>
      </c>
      <c r="K2" s="5" t="inlineStr">
        <is>
          <t>pass 0.85 (matches 0.29, fallback 0.56) · breach 0.13 · unclear 0.02</t>
        </is>
      </c>
      <c r="L2" s="5" t="inlineStr">
        <is>
          <t>deviation (clause 6.1): Return or destruction is due 'forthwith' on termination, which is shorter than the 5 Business Day minimum, although the officer certificate (14 days) and backup and legal-retention exceptions in 6.2 are acceptable.</t>
        </is>
      </c>
      <c r="M2" s="6" t="n"/>
      <c r="N2" s="6" t="n"/>
      <c r="O2" s="6" t="n"/>
      <c r="P2" s="6" t="n"/>
      <c r="Q2" s="7" t="n"/>
    </row>
    <row r="3" ht="230" customHeight="1">
      <c r="A3" s="5" t="n">
        <v>2</v>
      </c>
      <c r="B3" s="5" t="inlineStr">
        <is>
          <t>C15</t>
        </is>
      </c>
      <c r="C3" s="5" t="inlineStr">
        <is>
          <t>10.1</t>
        </is>
      </c>
      <c r="D3" s="5" t="inlineStr">
        <is>
          <t>PB19</t>
        </is>
      </c>
      <c r="E3" s="5" t="inlineStr">
        <is>
          <t>Assignment</t>
        </is>
      </c>
      <c r="F3" s="5" t="inlineStr">
        <is>
          <t>Low</t>
        </is>
      </c>
      <c r="G3" s="5" t="inlineStr">
        <is>
          <t>No assignment without prior written consent.</t>
        </is>
      </c>
      <c r="H3" s="5" t="inlineStr">
        <is>
          <t>• Either party may assign to a Group member or successor on notice.</t>
        </is>
      </c>
      <c r="I3" s="5" t="inlineStr">
        <is>
          <t>10.1 Assignment. Neither Party may assign, novate, delegate, or transfer this Agreement, or any of its rights or obligations hereunder, in whole or in part, without the prior written consent of the other Party; provided, however, that Vanderberg may assign this Agreement to an Affiliate upon written notice to Halyard.</t>
        </is>
      </c>
      <c r="J3" s="5" t="inlineStr">
        <is>
          <t>acceptable</t>
        </is>
      </c>
      <c r="K3" s="5" t="inlineStr">
        <is>
          <t>pass 0.75 (matches 0.25, fallback 0.50) · breach 0.24 · unclear 0.01</t>
        </is>
      </c>
      <c r="L3" s="5" t="inlineStr">
        <is>
          <t>deviation (clause 10.1): Only Vanderberg may assign to an Affiliate on notice while Halyard needs consent.</t>
        </is>
      </c>
      <c r="M3" s="6" t="n"/>
      <c r="N3" s="6" t="n"/>
      <c r="O3" s="6" t="n"/>
      <c r="P3" s="6" t="n"/>
      <c r="Q3" s="7" t="n"/>
    </row>
    <row r="4" ht="230" customHeight="1">
      <c r="A4" s="5" t="n">
        <v>3</v>
      </c>
      <c r="B4" s="5" t="inlineStr">
        <is>
          <t>C24</t>
        </is>
      </c>
      <c r="C4" s="5" t="inlineStr">
        <is>
          <t>1.1.7</t>
        </is>
      </c>
      <c r="D4" s="5" t="inlineStr">
        <is>
          <t>PB05</t>
        </is>
      </c>
      <c r="E4" s="5" t="inlineStr">
        <is>
          <t>Permitted disclosure to Representatives and Group</t>
        </is>
      </c>
      <c r="F4" s="5" t="inlineStr">
        <is>
          <t>Medium</t>
        </is>
      </c>
      <c r="G4" s="5" t="inlineStr">
        <is>
          <t>Disclosure to employees, officers, directors, professional advisers, auditors, insurers and Group members on a need-to-know basis; recipient liable for them.</t>
        </is>
      </c>
      <c r="H4" s="5" t="inlineStr">
        <is>
          <t>• Group disclosure only with consent not to be unreasonably withheld, provided advisers, auditors and insurers remain permitted. (ASSUMED)
• Requirement for written confidentiality undertakings from advisers who are not under professional duties.</t>
        </is>
      </c>
      <c r="I4" s="5" t="inlineStr">
        <is>
          <t>1.1.7 "Representatives" means, in relation to a Party, its lawful directors, statutory officers, employees, legal advisors, statutory auditors, and designated financial counselors who have a demonstrable need to receive and review Confidential Information for the fulfillment of the Permitted Purpose.</t>
        </is>
      </c>
      <c r="J4" s="5" t="inlineStr">
        <is>
          <t>matches</t>
        </is>
      </c>
      <c r="K4" s="5" t="inlineStr">
        <is>
          <t>pass 0.66 (matches 0.41, fallback 0.25) · breach 0.27 · unclear 0.07</t>
        </is>
      </c>
      <c r="L4" s="5" t="inlineStr">
        <is>
          <t>deviation (clause 1.1.7): Representatives do not include Affiliates/Group members or insurers and there is no consent mechanism to disclose to Group members.</t>
        </is>
      </c>
      <c r="M4" s="6" t="n"/>
      <c r="N4" s="6" t="n"/>
      <c r="O4" s="6" t="n"/>
      <c r="P4" s="6" t="n"/>
      <c r="Q4" s="7" t="n"/>
    </row>
    <row r="5" ht="230" customHeight="1">
      <c r="A5" s="5" t="n">
        <v>4</v>
      </c>
      <c r="B5" s="5" t="inlineStr">
        <is>
          <t>C27</t>
        </is>
      </c>
      <c r="C5" s="5" t="inlineStr">
        <is>
          <t>1.1.4</t>
        </is>
      </c>
      <c r="D5" s="5" t="inlineStr">
        <is>
          <t>PB05</t>
        </is>
      </c>
      <c r="E5" s="5" t="inlineStr">
        <is>
          <t>Permitted disclosure to Representatives and Group</t>
        </is>
      </c>
      <c r="F5" s="5" t="inlineStr">
        <is>
          <t>Medium</t>
        </is>
      </c>
      <c r="G5" s="5" t="inlineStr">
        <is>
          <t>Disclosure to employees, officers, directors, professional advisers, auditors, insurers and Group members on a need-to-know basis; recipient liable for them.</t>
        </is>
      </c>
      <c r="H5" s="5" t="inlineStr">
        <is>
          <t>• Group disclosure only with consent not to be unreasonably withheld, provided advisers, auditors and insurers remain permitted. (ASSUMED)
• Requirement for written confidentiality undertakings from advisers who are not under professional duties.</t>
        </is>
      </c>
      <c r="I5" s="5" t="inlineStr">
        <is>
          <t>1.1.4 "Representatives" means the directors, officers, employees, legal advisors, accountants, financial consultants, and contracted technical personnel of a Party or its Affiliates who need access to the Confidential Information for the Purpose.</t>
        </is>
      </c>
      <c r="J5" s="5" t="inlineStr">
        <is>
          <t>matches</t>
        </is>
      </c>
      <c r="K5" s="5" t="inlineStr">
        <is>
          <t>pass 0.69 (matches 0.48, fallback 0.21) · breach 0.19 · unclear 0.12</t>
        </is>
      </c>
      <c r="L5" s="5" t="inlineStr">
        <is>
          <t>deviation (clause 1.1.4): Representatives cover Affiliates and advisers on need-to-know with liability retained (3.2), but insurers are not listed and auditors only arguably via accountants.</t>
        </is>
      </c>
      <c r="M5" s="6" t="n"/>
      <c r="N5" s="6" t="n"/>
      <c r="O5" s="6" t="n"/>
      <c r="P5" s="6" t="n"/>
      <c r="Q5" s="7" t="n"/>
    </row>
    <row r="6" ht="230" customHeight="1">
      <c r="A6" s="5" t="n">
        <v>5</v>
      </c>
      <c r="B6" s="5" t="inlineStr">
        <is>
          <t>C29</t>
        </is>
      </c>
      <c r="C6" s="5" t="inlineStr">
        <is>
          <t>4.3</t>
        </is>
      </c>
      <c r="D6" s="5" t="inlineStr">
        <is>
          <t>PB06</t>
        </is>
      </c>
      <c r="E6" s="5" t="inlineStr">
        <is>
          <t>Compelled disclosure</t>
        </is>
      </c>
      <c r="F6" s="5" t="inlineStr">
        <is>
          <t>Medium</t>
        </is>
      </c>
      <c r="G6" s="5" t="inlineStr">
        <is>
          <t>Disclosure permitted to the extent required by law, regulator, court or stock exchange; notice and cooperation only where legally permitted; resisting disclosure at the Disclosing Party's cost.</t>
        </is>
      </c>
      <c r="H6" s="5" t="inlineStr">
        <is>
          <t>• Notice 'where lawful' and cooperation at the Disclosing Party's cost.
• Obligation to use reasonable endeavours to obtain confidential treatment, at the Disclosing Party's cost.</t>
        </is>
      </c>
      <c r="I6" s="5" t="inlineStr">
        <is>
          <t>4.3 The Recipient may disclose Confidential Information to the minimum extent required by an order of a court of competent jurisdiction or by mandatory statutory requirement, provided that the Recipient gives the Disclosing Party immediate written notice of such requirement (where legally permissible) to enable the Disclosing Party to seek a protective order or other appropriate remedy.</t>
        </is>
      </c>
      <c r="J6" s="5" t="inlineStr">
        <is>
          <t>acceptable</t>
        </is>
      </c>
      <c r="K6" s="5" t="inlineStr">
        <is>
          <t>pass 0.93 (matches 0.40, fallback 0.53) · breach 0.04 · unclear 0.02</t>
        </is>
      </c>
      <c r="L6" s="5" t="inlineStr">
        <is>
          <t>deviation (clause 4.3): The exception covers only court orders and statutory requirements, omitting regulators and stock exchanges; notice is 'where legally permissible' which is acceptable, but no cost allocation is stated.</t>
        </is>
      </c>
      <c r="M6" s="6" t="n"/>
      <c r="N6" s="6" t="n"/>
      <c r="O6" s="6" t="n"/>
      <c r="P6" s="6" t="n"/>
      <c r="Q6" s="7" t="n"/>
    </row>
    <row r="7" ht="230" customHeight="1">
      <c r="A7" s="5" t="n">
        <v>6</v>
      </c>
      <c r="B7" s="5" t="inlineStr">
        <is>
          <t>C30</t>
        </is>
      </c>
      <c r="C7" s="5" t="inlineStr">
        <is>
          <t>1.1.6</t>
        </is>
      </c>
      <c r="D7" s="5" t="inlineStr">
        <is>
          <t>PB05</t>
        </is>
      </c>
      <c r="E7" s="5" t="inlineStr">
        <is>
          <t>Permitted disclosure to Representatives and Group</t>
        </is>
      </c>
      <c r="F7" s="5" t="inlineStr">
        <is>
          <t>Medium</t>
        </is>
      </c>
      <c r="G7" s="5" t="inlineStr">
        <is>
          <t>Disclosure to employees, officers, directors, professional advisers, auditors, insurers and Group members on a need-to-know basis; recipient liable for them.</t>
        </is>
      </c>
      <c r="H7" s="5" t="inlineStr">
        <is>
          <t>• Group disclosure only with consent not to be unreasonably withheld, provided advisers, auditors and insurers remain permitted. (ASSUMED)
• Requirement for written confidentiality undertakings from advisers who are not under professional duties.</t>
        </is>
      </c>
      <c r="I7" s="5" t="inlineStr">
        <is>
          <t>1.1.6 "Representatives" means the directors, officers, employees, individual contractors, and professional legal or financial advisers of a Party or its Affiliates who reasonably require access to Proprietary Information for the Permitted Purpose.</t>
        </is>
      </c>
      <c r="J7" s="5" t="inlineStr">
        <is>
          <t>matches</t>
        </is>
      </c>
      <c r="K7" s="5" t="inlineStr">
        <is>
          <t>pass 0.65 (matches 0.40, fallback 0.25) · breach 0.23 · unclear 0.12</t>
        </is>
      </c>
      <c r="L7" s="5" t="inlineStr">
        <is>
          <t>deviation (clause 1.1.6): Representatives cover Affiliates and advisers but do not expressly include auditors or insurers.</t>
        </is>
      </c>
      <c r="M7" s="6" t="n"/>
      <c r="N7" s="6" t="n"/>
      <c r="O7" s="6" t="n"/>
      <c r="P7" s="6" t="n"/>
      <c r="Q7" s="7" t="n"/>
    </row>
    <row r="8" ht="230" customHeight="1">
      <c r="A8" s="5" t="n">
        <v>7</v>
      </c>
      <c r="B8" s="5" t="inlineStr">
        <is>
          <t>C30</t>
        </is>
      </c>
      <c r="C8" s="5" t="inlineStr">
        <is>
          <t>2.1</t>
        </is>
      </c>
      <c r="D8" s="5" t="inlineStr">
        <is>
          <t>PB20</t>
        </is>
      </c>
      <c r="E8" s="5" t="inlineStr">
        <is>
          <t>Reverse engineering</t>
        </is>
      </c>
      <c r="F8" s="5" t="inlineStr">
        <is>
          <t>Low</t>
        </is>
      </c>
      <c r="G8" s="5" t="inlineStr">
        <is>
          <t>No reverse engineering of software or prototypes.</t>
        </is>
      </c>
      <c r="H8" s="5" t="inlineStr">
        <is>
          <t>• Deletion where no software, prototypes or tangible items will be shared. (ASSUMED)</t>
        </is>
      </c>
      <c r="I8" s="5" t="inlineStr">
        <is>
          <t>2.1 In consideration of the mutual disclosure of Proprietary Information, each Party, in its capacity as a Receiving Party, agrees and undertakes that it shall:
2.1.1 hold and maintain all Proprietary Information of the Disclosing Party in strict confidence using the same degree of care it employs to protect its own confidential information of like sensitivity, but in no event less than a reasonable and prudent standard of professional care;
2.1.2 use the Proprietary Information solely and strictly for the evaluation and execution of the Permitted Purpose and for no other commercial, developmental, or competitive purpose;
2.1.3 restrict distribution of and access to Proprietary Information exclusively to those of its Representatives who have a genuine need to know such information for the Permitted Purpose, provided that each such Representative is bound by non-disclosure undertakings at least as protective as those contained in this Agreement; and
2.1.4 not copy, reproduce, reverse engineer, decompile, or disassemble any software, components, systems, or materials provided by the Disclosing Party, except to the extent strictly necessary to further the Permitted Purpose or as expressly permitted by mandatory statutory provisions.</t>
        </is>
      </c>
      <c r="J8" s="5" t="inlineStr">
        <is>
          <t>matches</t>
        </is>
      </c>
      <c r="K8" s="5" t="inlineStr">
        <is>
          <t>pass 0.70 (matches 0.68, fallback 0.02) · breach 0.23 · unclear 0.07</t>
        </is>
      </c>
      <c r="L8" s="5" t="inlineStr">
        <is>
          <t>deviation (clause 2.1.4): Reverse engineering is prohibited but with an exception where necessary for the Permitted Purpose, which could allow reverse engineering of Halyard software.</t>
        </is>
      </c>
      <c r="M8" s="6" t="n"/>
      <c r="N8" s="6" t="n"/>
      <c r="O8" s="6" t="n"/>
      <c r="P8" s="6" t="n"/>
      <c r="Q8" s="7" t="n"/>
    </row>
    <row r="9" ht="230" customHeight="1">
      <c r="A9" s="5" t="n">
        <v>8</v>
      </c>
      <c r="B9" s="5" t="inlineStr">
        <is>
          <t>C30</t>
        </is>
      </c>
      <c r="C9" s="5" t="inlineStr">
        <is>
          <t>9.4</t>
        </is>
      </c>
      <c r="D9" s="5" t="inlineStr">
        <is>
          <t>PB19</t>
        </is>
      </c>
      <c r="E9" s="5" t="inlineStr">
        <is>
          <t>Assignment</t>
        </is>
      </c>
      <c r="F9" s="5" t="inlineStr">
        <is>
          <t>Low</t>
        </is>
      </c>
      <c r="G9" s="5" t="inlineStr">
        <is>
          <t>No assignment without prior written consent.</t>
        </is>
      </c>
      <c r="H9" s="5" t="inlineStr">
        <is>
          <t>• Either party may assign to a Group member or successor on notice.</t>
        </is>
      </c>
      <c r="I9" s="5" t="inlineStr">
        <is>
          <t>9.4 Assignment. Neither Party may assign, transfer, charge, subcontract, or novate any of its rights or duties under this Agreement without the prior written consent of the other Party, except that Nordic Logix may assign this Agreement to an Affiliate or in connection with a corporate restructuring, merger, or sale of substantially all its business assets upon prior written notification.</t>
        </is>
      </c>
      <c r="J9" s="5" t="inlineStr">
        <is>
          <t>acceptable</t>
        </is>
      </c>
      <c r="K9" s="5" t="inlineStr">
        <is>
          <t>pass 0.76 (matches 0.20, fallback 0.56) · breach 0.23 · unclear 0.01</t>
        </is>
      </c>
      <c r="L9" s="5" t="inlineStr">
        <is>
          <t>deviation (clause 9.4): Nordic Logix may assign on notice while Halyard needs prior written consent.</t>
        </is>
      </c>
      <c r="M9" s="6" t="n"/>
      <c r="N9" s="6" t="n"/>
      <c r="O9" s="6" t="n"/>
      <c r="P9" s="6" t="n"/>
      <c r="Q9" s="7" t="n"/>
    </row>
  </sheetData>
  <dataValidations count="3">
    <dataValidation sqref="M2:M9" showDropDown="0" showInputMessage="0" showErrorMessage="0" allowBlank="1" errorTitle="Verdict" error="Choose matches, acceptable or deviation." type="list">
      <formula1>"matches,acceptable,deviation"</formula1>
    </dataValidation>
    <dataValidation sqref="N2:N9" showDropDown="0" showInputMessage="0" showErrorMessage="0" allowBlank="1" type="list">
      <formula1>"Yes,No"</formula1>
    </dataValidation>
    <dataValidation sqref="Q2:Q9" showDropDown="0" showInputMessage="0" showErrorMessage="0" allowBlank="1" error="Enter a date." type="date" operator="greaterThan">
      <formula1>DATE(2026,1,1)</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40" customWidth="1" min="1" max="1"/>
    <col width="42" customWidth="1" min="2" max="2"/>
  </cols>
  <sheetData>
    <row r="1">
      <c r="A1" s="8" t="inlineStr">
        <is>
          <t>Check status</t>
        </is>
      </c>
      <c r="B1" s="8" t="inlineStr">
        <is>
          <t>Value</t>
        </is>
      </c>
    </row>
    <row r="2">
      <c r="A2" s="9" t="inlineStr">
        <is>
          <t>Rows to check</t>
        </is>
      </c>
      <c r="B2" s="9">
        <f>COUNTA('Spot check'!B2:B9)</f>
        <v/>
      </c>
    </row>
    <row r="3">
      <c r="A3" s="9" t="inlineStr">
        <is>
          <t>Verdicts filled in</t>
        </is>
      </c>
      <c r="B3" s="9">
        <f>COUNTA('Spot check'!M2:M9)</f>
        <v/>
      </c>
    </row>
    <row r="4">
      <c r="A4" s="9" t="inlineStr">
        <is>
          <t>Rows with reviewer and date</t>
        </is>
      </c>
      <c r="B4" s="9">
        <f>SUMPRODUCT(('Spot check'!P2:P9&lt;&gt;"")*('Spot check'!Q2:Q9&lt;&gt;""))</f>
        <v/>
      </c>
    </row>
    <row r="5">
      <c r="A5" s="9" t="inlineStr">
        <is>
          <t>Overturned (verdict = deviation)</t>
        </is>
      </c>
      <c r="B5" s="9">
        <f>COUNTIF('Spot check'!M2:M9,"deviation")</f>
        <v/>
      </c>
    </row>
    <row r="6">
      <c r="A6" s="9" t="inlineStr">
        <is>
          <t>Want in queue = Yes</t>
        </is>
      </c>
      <c r="B6" s="9">
        <f>COUNTIF('Spot check'!N2:N9,"Yes")</f>
        <v/>
      </c>
    </row>
    <row r="7">
      <c r="A7" s="10" t="inlineStr">
        <is>
          <t>Outcome</t>
        </is>
      </c>
      <c r="B7" s="10">
        <f>IF(OR(B3&lt;B2,B4&lt;B2),"Waiting for the check",IF(B5=0,"Adopt v2.1 as the default","Keep v2.0; review the overturned rows"))</f>
        <v/>
      </c>
    </row>
    <row r="9">
      <c r="A9" s="11" t="inlineStr">
        <is>
          <t>Rule (from the agreed plan): v2.1 becomes the default when all rows are filled in and none is overturned.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2026-10-17T17:57:12Z</dcterms:created>
  <dcterms:modified xmlns:dcterms="http://purl.org/dc/terms/" xmlns:xsi="http://www.w3.org/2001/XMLSchema-instance" xsi:type="dcterms:W3CDTF">2026-10-17T17:57:12Z</dcterms:modified>
</cp:coreProperties>
</file>