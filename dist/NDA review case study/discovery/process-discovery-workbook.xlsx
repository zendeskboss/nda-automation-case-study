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" sheetId="1" r:id="rId5"/>
    <sheet state="visible" name="Tasks" sheetId="2" r:id="rId6"/>
    <sheet state="visible" name="How you decide" sheetId="3" r:id="rId7"/>
    <sheet state="visible" name="Examples" sheetId="4" r:id="rId8"/>
    <sheet state="visible" name="Tools and data" sheetId="5" r:id="rId9"/>
    <sheet state="visible" name="Worries" sheetId="6" r:id="rId10"/>
    <sheet state="visible" name="Next steps" sheetId="7" r:id="rId11"/>
    <sheet state="visible" name="What we do with this" sheetId="8" r:id="rId12"/>
    <sheet state="visible" name="Summary" sheetId="9" r:id="rId13"/>
    <sheet state="visible" name="Lists" sheetId="10" r:id="rId14"/>
  </sheets>
  <definedNames/>
  <calcPr/>
</workbook>
</file>

<file path=xl/sharedStrings.xml><?xml version="1.0" encoding="utf-8"?>
<sst xmlns="http://schemas.openxmlformats.org/spreadsheetml/2006/main" count="234" uniqueCount="207">
  <si>
    <t>How this work gets done</t>
  </si>
  <si>
    <t>Team name</t>
  </si>
  <si>
    <t>Team</t>
  </si>
  <si>
    <t>Process name</t>
  </si>
  <si>
    <t>Process</t>
  </si>
  <si>
    <t>Name, name@company.com</t>
  </si>
  <si>
    <t>Your contact</t>
  </si>
  <si>
    <t>Add a date</t>
  </si>
  <si>
    <t>Please finish by</t>
  </si>
  <si>
    <t>31 Oct</t>
  </si>
  <si>
    <t>What this is</t>
  </si>
  <si>
    <t>A record of how your team does this work, in your words.
You know it best. We don't.
We use it to find routine work a tool could take on, and to protect the work that needs a person.</t>
  </si>
  <si>
    <t>About 45 minutes. Save as you go. Half-finished answers still help.</t>
  </si>
  <si>
    <t>Leave out names, customer details and amounts. Write "Customer A".</t>
  </si>
  <si>
    <t>Your steps</t>
  </si>
  <si>
    <t>← Start here</t>
  </si>
  <si>
    <t>1  Tasks</t>
  </si>
  <si>
    <t>List each task, how often, how long, how hard.</t>
  </si>
  <si>
    <t>How you decide</t>
  </si>
  <si>
    <t>Examples</t>
  </si>
  <si>
    <t>Tasks</t>
  </si>
  <si>
    <t>One row per task. This is the part only you can tell us. Short notes are fine.</t>
  </si>
  <si>
    <t>Real cases, with names and amounts removed. Aim for 5 per task. Include a few hard ones and a few that went wrong.</t>
  </si>
  <si>
    <t>One row per task. Use the order you do them in. Top 5 to 15 tasks is plenty.</t>
  </si>
  <si>
    <t>Tasks appear here as you add them. Fill in the white cells.</t>
  </si>
  <si>
    <t>Pick answers from the lists. Grey cells fill themselves.</t>
  </si>
  <si>
    <t>Which task?</t>
  </si>
  <si>
    <t>#</t>
  </si>
  <si>
    <t>What do you check first?</t>
  </si>
  <si>
    <t>What was it?</t>
  </si>
  <si>
    <t>What's the task?</t>
  </si>
  <si>
    <t>What counts as fine?</t>
  </si>
  <si>
    <t>Link or file name</t>
  </si>
  <si>
    <t>Who does it?</t>
  </si>
  <si>
    <t>What did you decide?</t>
  </si>
  <si>
    <t>How did it turn out?</t>
  </si>
  <si>
    <t>How many times?</t>
  </si>
  <si>
    <t>What makes you stop or push back?</t>
  </si>
  <si>
    <t>Who do you ask when unsure?</t>
  </si>
  <si>
    <t>What should have happened?</t>
  </si>
  <si>
    <t>…per</t>
  </si>
  <si>
    <t>Where is this written down?</t>
  </si>
  <si>
    <t>Hard case?</t>
  </si>
  <si>
    <t>Minutes each time</t>
  </si>
  <si>
    <t>OK to test on?</t>
  </si>
  <si>
    <t>Hours a month</t>
  </si>
  <si>
    <t>2  How you decide</t>
  </si>
  <si>
    <t>How much judgement?</t>
  </si>
  <si>
    <t>If it goes wrong</t>
  </si>
  <si>
    <t>Tell us what you check and when you stop.</t>
  </si>
  <si>
    <t>Worst case, in one line</t>
  </si>
  <si>
    <t>What makes it hard?</t>
  </si>
  <si>
    <t>Who should do it?</t>
  </si>
  <si>
    <t>Why?</t>
  </si>
  <si>
    <t>3  Examples</t>
  </si>
  <si>
    <t>Share real cases, so we can test against them.</t>
  </si>
  <si>
    <t>4  Tools and data</t>
  </si>
  <si>
    <t>Where the work happens and what's in there.</t>
  </si>
  <si>
    <t>5  Worries</t>
  </si>
  <si>
    <t>Say what concerns you. Mark any red lines.</t>
  </si>
  <si>
    <t>6  Next steps</t>
  </si>
  <si>
    <t>Check the list. Add what you need from us.</t>
  </si>
  <si>
    <t>Our promises</t>
  </si>
  <si>
    <t>•  You decide what stays with people. Mark it on the Tasks tab and in Worries.</t>
  </si>
  <si>
    <t>•  We don't use this to judge anyone's work.</t>
  </si>
  <si>
    <t>•  You see what we build before anyone uses it.</t>
  </si>
  <si>
    <t>•  Ask us to change or remove anything you wrote.</t>
  </si>
  <si>
    <t>Stuck? Skip the question and tell us on Next steps. Or ask your contact above.</t>
  </si>
  <si>
    <t>See what we do with each answer  →</t>
  </si>
  <si>
    <t>Tools and data</t>
  </si>
  <si>
    <t>Where the work arrives, happens and ends up. Include email, shared drives and spreadsheets.</t>
  </si>
  <si>
    <t>Tool or place</t>
  </si>
  <si>
    <t>What's in it?</t>
  </si>
  <si>
    <t>Used for which task?</t>
  </si>
  <si>
    <t>Sensitive information?</t>
  </si>
  <si>
    <t>Can data be exported?</t>
  </si>
  <si>
    <t>Who grants access?</t>
  </si>
  <si>
    <t>Worries</t>
  </si>
  <si>
    <t>Say what concerns you. There are no wrong answers. We turn each one into a rule for how we build.</t>
  </si>
  <si>
    <t>What worries you?</t>
  </si>
  <si>
    <t>What would make it OK?</t>
  </si>
  <si>
    <t>How firm is this?</t>
  </si>
  <si>
    <t>Next steps</t>
  </si>
  <si>
    <t>What needs to happen next, and who does it. We update this with you.</t>
  </si>
  <si>
    <t>What needs to happen?</t>
  </si>
  <si>
    <t>Where did it come from?</t>
  </si>
  <si>
    <t>Who owns it?</t>
  </si>
  <si>
    <t>Due</t>
  </si>
  <si>
    <t>Status</t>
  </si>
  <si>
    <t>Notes or blockers</t>
  </si>
  <si>
    <t>Share five real examples for each task</t>
  </si>
  <si>
    <t>What we do with this</t>
  </si>
  <si>
    <t>Every question has a use. If we can't name one, we don't ask.</t>
  </si>
  <si>
    <t>Question</t>
  </si>
  <si>
    <t>Not started</t>
  </si>
  <si>
    <t>What we do with it</t>
  </si>
  <si>
    <t>What you get from it</t>
  </si>
  <si>
    <t>Tasks: how many times, minutes</t>
  </si>
  <si>
    <t>Work out hours a month for each task</t>
  </si>
  <si>
    <t>A fair view of where time goes</t>
  </si>
  <si>
    <t>Tasks: how much judgement</t>
  </si>
  <si>
    <t>Separate rule-following from expert calls</t>
  </si>
  <si>
    <t>Expert work is not treated as routine</t>
  </si>
  <si>
    <t>Tasks: if it goes wrong</t>
  </si>
  <si>
    <t>Set how much checking each task needs</t>
  </si>
  <si>
    <t>Risky work gets a person in the loop</t>
  </si>
  <si>
    <t>Tasks: what makes it hard</t>
  </si>
  <si>
    <t>Pick which problems to solve first</t>
  </si>
  <si>
    <t>We fix what actually hurts</t>
  </si>
  <si>
    <t>Tasks: who should do it</t>
  </si>
  <si>
    <t>Decide what stays with people</t>
  </si>
  <si>
    <t>Your view comes first</t>
  </si>
  <si>
    <t>Write the rules a tool must follow</t>
  </si>
  <si>
    <t>The tool follows your standards, not ours</t>
  </si>
  <si>
    <t>Test a tool on real cases before use</t>
  </si>
  <si>
    <t>Mistakes show up in testing, not in your work</t>
  </si>
  <si>
    <t>Plan access, and protect sensitive data</t>
  </si>
  <si>
    <t>No surprises about where data goes</t>
  </si>
  <si>
    <t>Turn each concern into a rule or a limit</t>
  </si>
  <si>
    <t>Your red lines become hard limits</t>
  </si>
  <si>
    <t>Track who does what, by when</t>
  </si>
  <si>
    <t>One list, no chasing</t>
  </si>
  <si>
    <t>Confirm the red lines with your team lead</t>
  </si>
  <si>
    <t>Name one person who can answer our questions</t>
  </si>
  <si>
    <t>Other</t>
  </si>
  <si>
    <t>Book a 30 minute walkthrough</t>
  </si>
  <si>
    <t>Summary</t>
  </si>
  <si>
    <t>Builds itself from the other tabs. For the facilitator. Do not type here.</t>
  </si>
  <si>
    <t>Where the time goes</t>
  </si>
  <si>
    <t>Tasks listed</t>
  </si>
  <si>
    <t>Hours a month, all tasks</t>
  </si>
  <si>
    <t>Hours a month kept with people</t>
  </si>
  <si>
    <t>Hours a month open to a tool</t>
  </si>
  <si>
    <t>Red lines</t>
  </si>
  <si>
    <t>Fit for a tool = hours a month × (4 − judgement) × (4 − impact). Tasks the team keeps with people show 'Kept'.</t>
  </si>
  <si>
    <t>Task by task</t>
  </si>
  <si>
    <t>Task</t>
  </si>
  <si>
    <t>Judgement (1-3)</t>
  </si>
  <si>
    <t>Impact (1-3)</t>
  </si>
  <si>
    <t>Rules written</t>
  </si>
  <si>
    <t>Team's view</t>
  </si>
  <si>
    <t>Fit for a tool</t>
  </si>
  <si>
    <t>1 = checklist</t>
  </si>
  <si>
    <t>3 = serious</t>
  </si>
  <si>
    <t>Aim: 5</t>
  </si>
  <si>
    <t>Higher = better first pick</t>
  </si>
  <si>
    <t>Per</t>
  </si>
  <si>
    <t>PerFactor</t>
  </si>
  <si>
    <t>Judgement</t>
  </si>
  <si>
    <t>Impact</t>
  </si>
  <si>
    <t>Hard</t>
  </si>
  <si>
    <t>View</t>
  </si>
  <si>
    <t>Outcome</t>
  </si>
  <si>
    <t>Sensitive</t>
  </si>
  <si>
    <t>YesNoMaybe</t>
  </si>
  <si>
    <t>RedLine</t>
  </si>
  <si>
    <t>YesNo</t>
  </si>
  <si>
    <t>Day</t>
  </si>
  <si>
    <t>Follow a checklist</t>
  </si>
  <si>
    <t>Minor: easy to fix</t>
  </si>
  <si>
    <t>Slow</t>
  </si>
  <si>
    <t>Keep with people</t>
  </si>
  <si>
    <t>Right first time</t>
  </si>
  <si>
    <t>None</t>
  </si>
  <si>
    <t>Yes</t>
  </si>
  <si>
    <t>Never automate this</t>
  </si>
  <si>
    <t>Week</t>
  </si>
  <si>
    <t>Weigh it up, within limits</t>
  </si>
  <si>
    <t>Moderate: costs time or goodwill</t>
  </si>
  <si>
    <t>Repetitive</t>
  </si>
  <si>
    <t>People, with tool help</t>
  </si>
  <si>
    <t>Needed a fix</t>
  </si>
  <si>
    <t>Personal data</t>
  </si>
  <si>
    <t>No</t>
  </si>
  <si>
    <t>A person must approve</t>
  </si>
  <si>
    <t>In progress</t>
  </si>
  <si>
    <t>Month</t>
  </si>
  <si>
    <t>Needs deep experience</t>
  </si>
  <si>
    <t>Serious: money, legal or customer harm</t>
  </si>
  <si>
    <t>Easy to get wrong</t>
  </si>
  <si>
    <t>Tool drafts, person checks</t>
  </si>
  <si>
    <t>Went wrong</t>
  </si>
  <si>
    <t>Confidential business info</t>
  </si>
  <si>
    <t>Not sure</t>
  </si>
  <si>
    <t>Just a worry</t>
  </si>
  <si>
    <t>Blocked</t>
  </si>
  <si>
    <t>Year</t>
  </si>
  <si>
    <t>Waiting on others</t>
  </si>
  <si>
    <t>Tool alone is fine</t>
  </si>
  <si>
    <t>Both</t>
  </si>
  <si>
    <t>Done</t>
  </si>
  <si>
    <t>Not hard</t>
  </si>
  <si>
    <t>Hours a month by judgement and impact</t>
  </si>
  <si>
    <t>Rows: judgement. Columns: impact if it goes wrong. Top left is the best place to start.</t>
  </si>
  <si>
    <t>Minor</t>
  </si>
  <si>
    <t>Moderate</t>
  </si>
  <si>
    <t>Serious</t>
  </si>
  <si>
    <t>Checklist</t>
  </si>
  <si>
    <t>Within limits</t>
  </si>
  <si>
    <t>Deep experience</t>
  </si>
  <si>
    <t>Tasks marked 'Keep with people' are left out of this grid.</t>
  </si>
  <si>
    <t>Gaps to close</t>
  </si>
  <si>
    <t>Tasks with fewer than 3 examples</t>
  </si>
  <si>
    <t>Tasks with no 'How you decide' notes</t>
  </si>
  <si>
    <t>Tasks with no team view</t>
  </si>
  <si>
    <t>Examples that went wrong</t>
  </si>
  <si>
    <t>Actions overdue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</si>
</sst>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0.0"/>
  </numFmts>
  <fonts count="20">
    <font>
      <sz val="11.0"/>
      <color theme="1"/>
      <name val="Calibri"/>
      <scheme val="minor"/>
    </font>
    <font>
      <b/>
      <sz val="20.0"/>
      <color rgb="FF1F2933"/>
      <name val="Arial"/>
    </font>
    <font>
      <sz val="11.0"/>
      <color rgb="FF52606D"/>
      <name val="Arial"/>
    </font>
    <font>
      <color theme="1"/>
      <name val="Calibri"/>
      <scheme val="minor"/>
    </font>
    <font>
      <b/>
      <sz val="10.0"/>
      <color rgb="FF52606D"/>
      <name val="Arial"/>
    </font>
    <font>
      <sz val="11.0"/>
      <color rgb="FF1F2933"/>
      <name val="Arial"/>
    </font>
    <font>
      <b/>
      <sz val="12.0"/>
      <color rgb="FF0B4F4A"/>
      <name val="Arial"/>
    </font>
    <font>
      <b/>
      <sz val="11.0"/>
      <color rgb="FF1F2933"/>
      <name val="Arial"/>
    </font>
    <font>
      <b/>
      <u/>
      <sz val="11.0"/>
      <color rgb="FF0F766E"/>
      <name val="Arial"/>
    </font>
    <font>
      <u/>
      <sz val="9.0"/>
      <color rgb="FF0F766E"/>
      <name val="Arial"/>
    </font>
    <font>
      <i/>
      <sz val="10.0"/>
      <color rgb="FF52606D"/>
      <name val="Arial"/>
    </font>
    <font>
      <b/>
      <sz val="11.0"/>
      <color theme="1"/>
      <name val="Arial"/>
    </font>
    <font/>
    <font>
      <u/>
      <sz val="10.0"/>
      <color rgb="FF0F766E"/>
      <name val="Arial"/>
    </font>
    <font>
      <b/>
      <sz val="11.0"/>
      <color rgb="FFFFFFFF"/>
      <name val="Arial"/>
    </font>
    <font>
      <i/>
      <sz val="9.0"/>
      <color rgb="FF52606D"/>
      <name val="Arial"/>
    </font>
    <font>
      <sz val="10.0"/>
      <color rgb="FF1F2933"/>
      <name val="Arial"/>
    </font>
    <font>
      <sz val="11.0"/>
      <color theme="1"/>
      <name val="Calibri"/>
    </font>
    <font>
      <b/>
      <sz val="10.0"/>
      <color rgb="FFFFFFFF"/>
      <name val="Arial"/>
    </font>
    <font>
      <b/>
      <sz val="10.0"/>
      <color rgb="FF1F2933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3D1"/>
        <bgColor rgb="FFFFF3D1"/>
      </patternFill>
    </fill>
    <fill>
      <patternFill patternType="solid">
        <fgColor rgb="FFECEFEF"/>
        <bgColor rgb="FFECEFEF"/>
      </patternFill>
    </fill>
    <fill>
      <patternFill patternType="solid">
        <fgColor rgb="FF0B4F4A"/>
        <bgColor rgb="FF0B4F4A"/>
      </patternFill>
    </fill>
    <fill>
      <patternFill patternType="solid">
        <fgColor rgb="FFF3F7F6"/>
        <bgColor rgb="FFF3F7F6"/>
      </patternFill>
    </fill>
    <fill>
      <patternFill patternType="solid">
        <fgColor rgb="FFD9EFE9"/>
        <bgColor rgb="FFD9EFE9"/>
      </patternFill>
    </fill>
    <fill>
      <patternFill patternType="solid">
        <fgColor rgb="FFEAF5F2"/>
        <bgColor rgb="FFEAF5F2"/>
      </patternFill>
    </fill>
    <fill>
      <patternFill patternType="solid">
        <fgColor rgb="FFFBE3E0"/>
        <bgColor rgb="FFFBE3E0"/>
      </patternFill>
    </fill>
    <fill>
      <patternFill patternType="solid">
        <fgColor rgb="FFF6C9C4"/>
        <bgColor rgb="FFF6C9C4"/>
      </patternFill>
    </fill>
  </fills>
  <borders count="4">
    <border/>
    <border>
      <left style="thin">
        <color rgb="FFD5DCDB"/>
      </left>
      <right style="thin">
        <color rgb="FFD5DCDB"/>
      </right>
      <top style="thin">
        <color rgb="FFD5DCDB"/>
      </top>
      <bottom style="thin">
        <color rgb="FFD5DCDB"/>
      </bottom>
    </border>
    <border>
      <bottom style="thin">
        <color rgb="FFD5DCDB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readingOrder="0"/>
    </xf>
    <xf borderId="0" fillId="0" fontId="4" numFmtId="0" xfId="0" applyFont="1"/>
    <xf borderId="1" fillId="2" fontId="5" numFmtId="0" xfId="0" applyAlignment="1" applyBorder="1" applyFill="1" applyFont="1">
      <alignment readingOrder="0"/>
    </xf>
    <xf borderId="1" fillId="2" fontId="5" numFmtId="0" xfId="0" applyBorder="1" applyFill="1" applyFont="1"/>
    <xf borderId="0" fillId="0" fontId="6" numFmtId="0" xfId="0" applyFont="1"/>
    <xf borderId="0" fillId="0" fontId="5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2" fillId="0" fontId="8" numFmtId="0" xfId="0" applyBorder="1" applyFont="1"/>
    <xf borderId="0" fillId="0" fontId="9" numFmtId="0" xfId="0" applyFont="1"/>
    <xf borderId="2" fillId="0" fontId="5" numFmtId="0" xfId="0" applyBorder="1" applyFont="1"/>
    <xf borderId="0" fillId="0" fontId="10" numFmtId="0" xfId="0" applyFont="1"/>
    <xf borderId="0" fillId="0" fontId="11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2" fillId="0" fontId="7" numFmtId="0" xfId="0" applyAlignment="1" applyBorder="1" applyFont="1">
      <alignment horizontal="right"/>
    </xf>
    <xf borderId="2" fillId="0" fontId="12" numFmtId="0" xfId="0" applyBorder="1" applyFont="1"/>
    <xf borderId="1" fillId="3" fontId="5" numFmtId="49" xfId="0" applyAlignment="1" applyBorder="1" applyFill="1" applyFont="1" applyNumberFormat="1">
      <alignment shrinkToFit="0" vertical="top" wrapText="1"/>
    </xf>
    <xf borderId="1" fillId="0" fontId="5" numFmtId="49" xfId="0" applyAlignment="1" applyBorder="1" applyFont="1" applyNumberForma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0" fillId="0" fontId="3" numFmtId="0" xfId="0" applyAlignment="1" applyFont="1">
      <alignment shrinkToFit="0" vertical="center" wrapText="0"/>
    </xf>
    <xf borderId="1" fillId="0" fontId="5" numFmtId="0" xfId="0" applyAlignment="1" applyBorder="1" applyFont="1">
      <alignment shrinkToFit="0" vertical="center" wrapText="1"/>
    </xf>
    <xf borderId="0" fillId="0" fontId="3" numFmtId="49" xfId="0" applyAlignment="1" applyFont="1" applyNumberForma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13" numFmtId="0" xfId="0" applyFont="1"/>
    <xf borderId="1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shrinkToFit="0" vertical="top" wrapText="1"/>
    </xf>
    <xf borderId="1" fillId="0" fontId="5" numFmtId="164" xfId="0" applyAlignment="1" applyBorder="1" applyFont="1" applyNumberFormat="1">
      <alignment shrinkToFit="0" vertical="top" wrapText="1"/>
    </xf>
    <xf borderId="1" fillId="4" fontId="14" numFmtId="0" xfId="0" applyAlignment="1" applyBorder="1" applyFill="1" applyFont="1">
      <alignment shrinkToFit="0" vertical="center" wrapText="1"/>
    </xf>
    <xf borderId="1" fillId="5" fontId="15" numFmtId="0" xfId="0" applyAlignment="1" applyBorder="1" applyFill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2" fillId="0" fontId="7" numFmtId="1" xfId="0" applyBorder="1" applyFont="1" applyNumberFormat="1"/>
    <xf borderId="2" fillId="0" fontId="7" numFmtId="165" xfId="0" applyBorder="1" applyFont="1" applyNumberFormat="1"/>
    <xf borderId="0" fillId="0" fontId="15" numFmtId="0" xfId="0" applyFont="1"/>
    <xf borderId="1" fillId="0" fontId="16" numFmtId="0" xfId="0" applyAlignment="1" applyBorder="1" applyFont="1">
      <alignment horizontal="left" shrinkToFit="0" vertical="top" wrapText="1"/>
    </xf>
    <xf borderId="1" fillId="0" fontId="16" numFmtId="165" xfId="0" applyAlignment="1" applyBorder="1" applyFont="1" applyNumberFormat="1">
      <alignment horizontal="center" vertical="top"/>
    </xf>
    <xf borderId="1" fillId="0" fontId="16" numFmtId="0" xfId="0" applyAlignment="1" applyBorder="1" applyFont="1">
      <alignment horizontal="center" vertical="top"/>
    </xf>
    <xf borderId="1" fillId="0" fontId="16" numFmtId="0" xfId="0" applyAlignment="1" applyBorder="1" applyFont="1">
      <alignment horizontal="left" vertical="top"/>
    </xf>
    <xf borderId="0" fillId="0" fontId="3" numFmtId="0" xfId="0" applyFont="1"/>
    <xf borderId="3" fillId="4" fontId="17" numFmtId="0" xfId="0" applyBorder="1" applyFill="1" applyFont="1"/>
    <xf borderId="3" fillId="4" fontId="18" numFmtId="0" xfId="0" applyAlignment="1" applyBorder="1" applyFill="1" applyFont="1">
      <alignment horizontal="center"/>
    </xf>
    <xf borderId="0" fillId="0" fontId="19" numFmtId="0" xfId="0" applyFont="1"/>
    <xf borderId="1" fillId="6" fontId="7" numFmtId="165" xfId="0" applyAlignment="1" applyBorder="1" applyFill="1" applyFont="1" applyNumberFormat="1">
      <alignment horizontal="center"/>
    </xf>
    <xf borderId="1" fillId="7" fontId="7" numFmtId="165" xfId="0" applyAlignment="1" applyBorder="1" applyFill="1" applyFont="1" applyNumberFormat="1">
      <alignment horizontal="center"/>
    </xf>
    <xf borderId="1" fillId="2" fontId="7" numFmtId="165" xfId="0" applyAlignment="1" applyBorder="1" applyFill="1" applyFont="1" applyNumberFormat="1">
      <alignment horizontal="center"/>
    </xf>
    <xf borderId="1" fillId="8" fontId="7" numFmtId="165" xfId="0" applyAlignment="1" applyBorder="1" applyFill="1" applyFont="1" applyNumberFormat="1">
      <alignment horizontal="center"/>
    </xf>
    <xf borderId="1" fillId="9" fontId="7" numFmtId="165" xfId="0" applyAlignment="1" applyBorder="1" applyFill="1" applyFont="1" applyNumberFormat="1">
      <alignment horizontal="center"/>
    </xf>
    <xf borderId="2" fillId="0" fontId="7" numFmtId="0" xfId="0" applyAlignment="1" applyBorder="1" applyFont="1">
      <alignment horizontal="center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9AA5B1"/>
      </font>
      <fill>
        <patternFill patternType="none"/>
      </fill>
      <border/>
    </dxf>
    <dxf>
      <font>
        <b/>
        <color rgb="FF0F766E"/>
      </font>
      <fill>
        <patternFill patternType="none"/>
      </fill>
      <border/>
    </dxf>
    <dxf>
      <font/>
      <fill>
        <patternFill patternType="solid">
          <fgColor rgb="FFE2F3EB"/>
          <bgColor rgb="FFE2F3EB"/>
        </patternFill>
      </fill>
      <border/>
    </dxf>
    <dxf>
      <font/>
      <fill>
        <patternFill patternType="solid">
          <fgColor rgb="FFFFF3D1"/>
          <bgColor rgb="FFFFF3D1"/>
        </patternFill>
      </fill>
      <border/>
    </dxf>
    <dxf>
      <font/>
      <fill>
        <patternFill patternType="solid">
          <fgColor rgb="FFFAE2DF"/>
          <bgColor rgb="FFFAE2DF"/>
        </patternFill>
      </fill>
      <border/>
    </dxf>
    <dxf>
      <font>
        <b/>
        <color rgb="FF9B2C2C"/>
      </font>
      <fill>
        <patternFill patternType="none"/>
      </fill>
      <border/>
    </dxf>
    <dxf>
      <font/>
      <fill>
        <patternFill patternType="solid">
          <fgColor rgb="FFFBE3E0"/>
          <bgColor rgb="FFFBE3E0"/>
        </patternFill>
      </fill>
      <border/>
    </dxf>
  </dxfs>
  <tableStyles count="6">
    <tableStyle count="4" pivot="0" name="Examp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sk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w you decid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ools and 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orr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ext step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Hours a month by task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Summary!$C$13</c:f>
            </c:strRef>
          </c:tx>
          <c:invertIfNegative val="0"/>
          <c:cat>
            <c:strRef>
              <c:f>Summary!$B$15:$B$29</c:f>
            </c:strRef>
          </c:cat>
          <c:val>
            <c:numRef>
              <c:f>Summary!$C$14:$C$29</c:f>
              <c:numCache/>
            </c:numRef>
          </c:val>
        </c:ser>
        <c:axId val="1296327411"/>
        <c:axId val="1635204918"/>
      </c:barChart>
      <c:catAx>
        <c:axId val="12963274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Task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5204918"/>
      </c:catAx>
      <c:valAx>
        <c:axId val="1635204918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296327411"/>
        <c:crosses val="max"/>
      </c:valAx>
    </c:plotArea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</xdr:colOff>
      <xdr:row>4</xdr:row>
      <xdr:rowOff>66675</xdr:rowOff>
    </xdr:from>
    <xdr:ext cx="6858000" cy="41814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7:N37" displayName="Tasks_table" name="Tasks_table" id="2">
  <tableColumns count="13">
    <tableColumn name="#" id="1"/>
    <tableColumn name="What's the task?" id="2"/>
    <tableColumn name="Who does it?" id="3"/>
    <tableColumn name="How many times?" id="4"/>
    <tableColumn name="…per" id="5"/>
    <tableColumn name="Minutes each time" id="6"/>
    <tableColumn name="Hours a month" id="7"/>
    <tableColumn name="How much judgement?" id="8"/>
    <tableColumn name="If it goes wrong" id="9"/>
    <tableColumn name="Worst case, in one line" id="10"/>
    <tableColumn name="What makes it hard?" id="11"/>
    <tableColumn name="Who should do it?" id="12"/>
    <tableColumn name="Why?" id="13"/>
  </tableColumns>
  <tableStyleInfo name="Tasks-style" showColumnStripes="0" showFirstColumn="1" showLastColumn="1" showRowStripes="1"/>
</table>
</file>

<file path=xl/tables/table2.xml><?xml version="1.0" encoding="utf-8"?>
<table xmlns="http://schemas.openxmlformats.org/spreadsheetml/2006/main" ref="B7:G37" displayName="HowYouDecide_table" name="HowYouDecide_table" id="1">
  <tableColumns count="6">
    <tableColumn name="Which task?" id="1"/>
    <tableColumn name="What do you check first?" id="2"/>
    <tableColumn name="What counts as fine?" id="3"/>
    <tableColumn name="What makes you stop or push back?" id="4"/>
    <tableColumn name="Who do you ask when unsure?" id="5"/>
    <tableColumn name="Where is this written down?" id="6"/>
  </tableColumns>
  <tableStyleInfo name="How you decide-style" showColumnStripes="0" showFirstColumn="1" showLastColumn="1" showRowStripes="1"/>
</table>
</file>

<file path=xl/tables/table3.xml><?xml version="1.0" encoding="utf-8"?>
<table xmlns="http://schemas.openxmlformats.org/spreadsheetml/2006/main" ref="B7:I66" displayName="Examples_table" name="Examples_table" id="3">
  <tableColumns count="8">
    <tableColumn name="Which task?" id="1"/>
    <tableColumn name="What was it?" id="2"/>
    <tableColumn name="Link or file name" id="3"/>
    <tableColumn name="What did you decide?" id="4"/>
    <tableColumn name="How did it turn out?" id="5"/>
    <tableColumn name="What should have happened?" id="6"/>
    <tableColumn name="Hard case?" id="7"/>
    <tableColumn name="OK to test on?" id="8"/>
  </tableColumns>
  <tableStyleInfo name="Examples-style" showColumnStripes="0" showFirstColumn="1" showLastColumn="1" showRowStripes="1"/>
</table>
</file>

<file path=xl/tables/table4.xml><?xml version="1.0" encoding="utf-8"?>
<table xmlns="http://schemas.openxmlformats.org/spreadsheetml/2006/main" ref="B7:G26" displayName="ToolsData_table" name="ToolsData_table" id="4">
  <tableColumns count="6">
    <tableColumn name="Tool or place" id="1"/>
    <tableColumn name="What's in it?" id="2"/>
    <tableColumn name="Used for which task?" id="3"/>
    <tableColumn name="Sensitive information?" id="4"/>
    <tableColumn name="Can data be exported?" id="5"/>
    <tableColumn name="Who grants access?" id="6"/>
  </tableColumns>
  <tableStyleInfo name="Tools and data-style" showColumnStripes="0" showFirstColumn="1" showLastColumn="1" showRowStripes="1"/>
</table>
</file>

<file path=xl/tables/table5.xml><?xml version="1.0" encoding="utf-8"?>
<table xmlns="http://schemas.openxmlformats.org/spreadsheetml/2006/main" ref="B7:E26" displayName="Worries_table" name="Worries_table" id="5">
  <tableColumns count="4">
    <tableColumn name="What worries you?" id="1"/>
    <tableColumn name="Which task?" id="2"/>
    <tableColumn name="What would make it OK?" id="3"/>
    <tableColumn name="How firm is this?" id="4"/>
  </tableColumns>
  <tableStyleInfo name="Worries-style" showColumnStripes="0" showFirstColumn="1" showLastColumn="1" showRowStripes="1"/>
</table>
</file>

<file path=xl/tables/table6.xml><?xml version="1.0" encoding="utf-8"?>
<table xmlns="http://schemas.openxmlformats.org/spreadsheetml/2006/main" ref="B7:G36" displayName="NextSteps_table" name="NextSteps_table" id="6">
  <tableColumns count="6">
    <tableColumn name="What needs to happen?" id="1"/>
    <tableColumn name="Where did it come from?" id="2"/>
    <tableColumn name="Who owns it?" id="3"/>
    <tableColumn name="Due" id="4"/>
    <tableColumn name="Status" id="5"/>
    <tableColumn name="Notes or blockers" id="6"/>
  </tableColumns>
  <tableStyleInfo name="Next step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766E"/>
    <pageSetUpPr fitToPage="1"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4.0"/>
    <col customWidth="1" min="3" max="3" width="46.0"/>
    <col customWidth="1" min="4" max="5" width="18.0"/>
    <col customWidth="1" min="6" max="26" width="8.71"/>
  </cols>
  <sheetData>
    <row r="2" ht="30.0" customHeight="1">
      <c r="B2" s="1" t="s">
        <v>0</v>
      </c>
    </row>
    <row r="3" ht="6.0" customHeight="1">
      <c r="B3" s="2"/>
    </row>
    <row r="4">
      <c r="C4" s="3" t="s">
        <v>1</v>
      </c>
    </row>
    <row r="5">
      <c r="B5" s="4" t="s">
        <v>2</v>
      </c>
      <c r="C5" s="5" t="s">
        <v>3</v>
      </c>
    </row>
    <row r="6">
      <c r="B6" s="4" t="s">
        <v>4</v>
      </c>
      <c r="C6" s="5" t="s">
        <v>5</v>
      </c>
    </row>
    <row r="7">
      <c r="B7" s="4" t="s">
        <v>6</v>
      </c>
      <c r="C7" s="5" t="s">
        <v>7</v>
      </c>
    </row>
    <row r="8">
      <c r="B8" s="4" t="s">
        <v>8</v>
      </c>
      <c r="C8" s="6" t="s">
        <v>9</v>
      </c>
    </row>
    <row r="10">
      <c r="B10" s="7" t="s">
        <v>10</v>
      </c>
    </row>
    <row r="11" ht="61.5" customHeight="1">
      <c r="B11" s="8" t="s">
        <v>11</v>
      </c>
    </row>
    <row r="12" ht="21.75" customHeight="1">
      <c r="B12" s="8" t="s">
        <v>12</v>
      </c>
    </row>
    <row r="13" ht="21.75" customHeight="1">
      <c r="B13" s="9" t="s">
        <v>13</v>
      </c>
    </row>
    <row r="15">
      <c r="B15" s="7" t="s">
        <v>14</v>
      </c>
    </row>
    <row r="16" ht="24.0" customHeight="1">
      <c r="B16" s="10" t="s">
        <v>16</v>
      </c>
      <c r="C16" s="12" t="s">
        <v>17</v>
      </c>
      <c r="D16" s="16" t="str">
        <f>IF(COUNTA(Tasks!C8:C37)=0,"To do",COUNTA(Tasks!C8:C37)&amp;" tasks")</f>
        <v>To do</v>
      </c>
      <c r="E16" s="17"/>
    </row>
    <row r="17" ht="24.0" customHeight="1">
      <c r="B17" s="10" t="s">
        <v>46</v>
      </c>
      <c r="C17" s="12" t="s">
        <v>49</v>
      </c>
      <c r="D17" s="16" t="str">
        <f>IF(COUNTIF('How you decide'!C8:C37,"?*")=0,"To do",COUNTIF('How you decide'!C8:C37,"?*")&amp;" of "&amp;COUNTA(Tasks!C8:C37)&amp;" tasks")</f>
        <v>To do</v>
      </c>
      <c r="E17" s="17"/>
    </row>
    <row r="18" ht="24.0" customHeight="1">
      <c r="B18" s="10" t="s">
        <v>54</v>
      </c>
      <c r="C18" s="12" t="s">
        <v>55</v>
      </c>
      <c r="D18" s="16" t="str">
        <f>IF(COUNTA(Examples!B8:B66)=0,"To do",COUNTA(Examples!B8:B66)&amp;" examples")</f>
        <v>To do</v>
      </c>
      <c r="E18" s="17"/>
    </row>
    <row r="19" ht="24.0" customHeight="1">
      <c r="B19" s="10" t="s">
        <v>56</v>
      </c>
      <c r="C19" s="12" t="s">
        <v>57</v>
      </c>
      <c r="D19" s="16" t="str">
        <f>IF(COUNTA('Tools and data'!B8:B26)=0,"To do",COUNTA('Tools and data'!B8:B26)&amp;" listed")</f>
        <v>To do</v>
      </c>
      <c r="E19" s="17"/>
    </row>
    <row r="20" ht="24.0" customHeight="1">
      <c r="B20" s="10" t="s">
        <v>58</v>
      </c>
      <c r="C20" s="12" t="s">
        <v>59</v>
      </c>
      <c r="D20" s="16" t="str">
        <f>IF(COUNTA(Worries!B8:B26)=0,"To do",COUNTA(Worries!B8:B26)&amp;" noted")</f>
        <v>To do</v>
      </c>
      <c r="E20" s="17"/>
    </row>
    <row r="21" ht="24.0" customHeight="1">
      <c r="B21" s="10" t="s">
        <v>60</v>
      </c>
      <c r="C21" s="12" t="s">
        <v>61</v>
      </c>
      <c r="D21" s="16" t="str">
        <f>IF(COUNTA('Next steps'!B8:B36)=0,"To do",COUNTA('Next steps'!B8:B36)&amp;" actions")</f>
        <v>4 actions</v>
      </c>
      <c r="E21" s="17"/>
    </row>
    <row r="22" ht="15.75" customHeight="1"/>
    <row r="23" ht="15.75" customHeight="1">
      <c r="B23" s="7" t="s">
        <v>62</v>
      </c>
    </row>
    <row r="24" ht="21.75" customHeight="1">
      <c r="B24" s="8" t="s">
        <v>63</v>
      </c>
    </row>
    <row r="25" ht="21.75" customHeight="1">
      <c r="B25" s="8" t="s">
        <v>64</v>
      </c>
    </row>
    <row r="26" ht="21.75" customHeight="1">
      <c r="B26" s="8" t="s">
        <v>65</v>
      </c>
    </row>
    <row r="27" ht="21.75" customHeight="1">
      <c r="B27" s="8" t="s">
        <v>66</v>
      </c>
    </row>
    <row r="28" ht="15.75" customHeight="1"/>
    <row r="29" ht="15.75" customHeight="1">
      <c r="B29" s="13" t="s">
        <v>67</v>
      </c>
    </row>
    <row r="30" ht="15.75" customHeight="1">
      <c r="B30" s="26" t="s">
        <v>68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D20:E20"/>
    <mergeCell ref="D21:E21"/>
    <mergeCell ref="B24:E24"/>
    <mergeCell ref="B25:E25"/>
    <mergeCell ref="B26:E26"/>
    <mergeCell ref="B27:E27"/>
    <mergeCell ref="B29:E29"/>
    <mergeCell ref="B11:E11"/>
    <mergeCell ref="B12:E12"/>
    <mergeCell ref="B13:E13"/>
    <mergeCell ref="D16:E16"/>
    <mergeCell ref="D17:E17"/>
    <mergeCell ref="D18:E18"/>
    <mergeCell ref="D19:E19"/>
  </mergeCells>
  <conditionalFormatting sqref="D16:D21">
    <cfRule type="expression" dxfId="5" priority="1">
      <formula>D16="To do"</formula>
    </cfRule>
  </conditionalFormatting>
  <conditionalFormatting sqref="D16:D21">
    <cfRule type="expression" dxfId="6" priority="2">
      <formula>D16&lt;&gt;"To do"</formula>
    </cfRule>
  </conditionalFormatting>
  <hyperlinks>
    <hyperlink display="1  Tasks" location="Tasks!A1" ref="B16"/>
    <hyperlink display="2  How you decide" location="'How you decide'!A1" ref="B17"/>
    <hyperlink display="3  Examples" location="Examples!A1" ref="B18"/>
    <hyperlink display="4  Tools and data" location="'Tools and data'!A1" ref="B19"/>
    <hyperlink display="5  Worries" location="Worries!A1" ref="B20"/>
    <hyperlink display="6  Next steps" location="'Next steps'!A1" ref="B21"/>
    <hyperlink display="See what we do with each answer  →" location="'What we do with this'!A1" ref="B30"/>
  </hyperlink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766E"/>
    <pageSetUpPr fitToPage="1"/>
  </sheetPr>
  <sheetViews>
    <sheetView showGridLines="0" workbookViewId="0">
      <pane xSplit="3.0" ySplit="7.0" topLeftCell="D8" activePane="bottomRight" state="frozen"/>
      <selection activeCell="D1" sqref="D1" pane="topRight"/>
      <selection activeCell="A8" sqref="A8" pane="bottomLeft"/>
      <selection activeCell="D8" sqref="D8" pane="bottomRight"/>
    </sheetView>
  </sheetViews>
  <sheetFormatPr customHeight="1" defaultColWidth="14.43" defaultRowHeight="15.0"/>
  <cols>
    <col customWidth="1" min="1" max="1" width="2.0"/>
    <col customWidth="1" min="2" max="2" width="5.0"/>
    <col customWidth="1" min="3" max="3" width="40.0"/>
    <col customWidth="1" min="4" max="4" width="25.14"/>
    <col customWidth="1" min="5" max="5" width="26.14"/>
    <col customWidth="1" min="6" max="6" width="14.43"/>
    <col customWidth="1" min="7" max="7" width="27.14"/>
    <col customWidth="1" min="8" max="8" width="23.86"/>
    <col customWidth="1" min="9" max="9" width="31.43"/>
    <col customWidth="1" min="10" max="10" width="43.57"/>
    <col customWidth="1" min="11" max="11" width="30.86"/>
    <col customWidth="1" min="12" max="12" width="29.0"/>
    <col customWidth="1" min="13" max="13" width="31.43"/>
    <col customWidth="1" min="14" max="14" width="21.0"/>
  </cols>
  <sheetData>
    <row r="1">
      <c r="B1" s="11" t="s">
        <v>15</v>
      </c>
    </row>
    <row r="2" ht="30.0" customHeight="1">
      <c r="B2" s="1" t="s">
        <v>20</v>
      </c>
    </row>
    <row r="3" ht="33.75" customHeight="1">
      <c r="B3" s="2" t="s">
        <v>23</v>
      </c>
    </row>
    <row r="4">
      <c r="B4" s="13" t="s">
        <v>25</v>
      </c>
    </row>
    <row r="7" ht="43.5" customHeight="1">
      <c r="B7" s="15" t="s">
        <v>27</v>
      </c>
      <c r="C7" s="15" t="s">
        <v>30</v>
      </c>
      <c r="D7" s="15" t="s">
        <v>33</v>
      </c>
      <c r="E7" s="15" t="s">
        <v>36</v>
      </c>
      <c r="F7" s="15" t="s">
        <v>40</v>
      </c>
      <c r="G7" s="15" t="s">
        <v>43</v>
      </c>
      <c r="H7" s="15" t="s">
        <v>45</v>
      </c>
      <c r="I7" s="15" t="s">
        <v>47</v>
      </c>
      <c r="J7" s="15" t="s">
        <v>48</v>
      </c>
      <c r="K7" s="15" t="s">
        <v>50</v>
      </c>
      <c r="L7" s="15" t="s">
        <v>51</v>
      </c>
      <c r="M7" s="15" t="s">
        <v>52</v>
      </c>
      <c r="N7" s="15" t="s">
        <v>53</v>
      </c>
    </row>
    <row r="8" ht="30.0" customHeight="1">
      <c r="B8" s="21" t="str">
        <f t="shared" ref="B8:B37" si="1">IF(C8="","",ROW()-7)</f>
        <v/>
      </c>
      <c r="C8" s="23"/>
      <c r="D8" s="23"/>
      <c r="E8" s="24"/>
      <c r="F8" s="25"/>
      <c r="G8" s="24"/>
      <c r="H8" s="21" t="str">
        <f t="array" ref="H8">IF(OR(E8="",F8="",G8=""),"",ROUND(E8*INDEX(Lists!$B$2:$B$5,MATCH(F8,Lists!$A$2:$A$5,0))*G8/60,1))</f>
        <v/>
      </c>
      <c r="I8" s="25"/>
      <c r="J8" s="25"/>
      <c r="K8" s="23"/>
      <c r="L8" s="25"/>
      <c r="M8" s="25"/>
      <c r="N8" s="23"/>
    </row>
    <row r="9" ht="30.0" customHeight="1">
      <c r="B9" s="21" t="str">
        <f t="shared" si="1"/>
        <v/>
      </c>
      <c r="C9" s="23"/>
      <c r="D9" s="23"/>
      <c r="E9" s="24"/>
      <c r="F9" s="25"/>
      <c r="G9" s="24"/>
      <c r="H9" s="21" t="str">
        <f t="array" ref="H9">IF(OR(E9="",F9="",G9=""),"",ROUND(E9*INDEX(Lists!$B$2:$B$5,MATCH(F9,Lists!$A$2:$A$5,0))*G9/60,1))</f>
        <v/>
      </c>
      <c r="I9" s="25"/>
      <c r="J9" s="25"/>
      <c r="K9" s="23"/>
      <c r="L9" s="25"/>
      <c r="M9" s="25"/>
      <c r="N9" s="23"/>
    </row>
    <row r="10" ht="30.0" customHeight="1">
      <c r="B10" s="21" t="str">
        <f t="shared" si="1"/>
        <v/>
      </c>
      <c r="C10" s="23"/>
      <c r="D10" s="23"/>
      <c r="E10" s="24"/>
      <c r="F10" s="25"/>
      <c r="G10" s="24"/>
      <c r="H10" s="21" t="str">
        <f t="array" ref="H10">IF(OR(E10="",F10="",G10=""),"",ROUND(E10*INDEX(Lists!$B$2:$B$5,MATCH(F10,Lists!$A$2:$A$5,0))*G10/60,1))</f>
        <v/>
      </c>
      <c r="I10" s="25"/>
      <c r="J10" s="25"/>
      <c r="K10" s="23"/>
      <c r="L10" s="25"/>
      <c r="M10" s="25"/>
      <c r="N10" s="23"/>
    </row>
    <row r="11" ht="30.0" customHeight="1">
      <c r="B11" s="21" t="str">
        <f t="shared" si="1"/>
        <v/>
      </c>
      <c r="C11" s="23"/>
      <c r="D11" s="23"/>
      <c r="E11" s="24"/>
      <c r="F11" s="25"/>
      <c r="G11" s="24"/>
      <c r="H11" s="21" t="str">
        <f t="array" ref="H11">IF(OR(E11="",F11="",G11=""),"",ROUND(E11*INDEX(Lists!$B$2:$B$5,MATCH(F11,Lists!$A$2:$A$5,0))*G11/60,1))</f>
        <v/>
      </c>
      <c r="I11" s="25"/>
      <c r="J11" s="25"/>
      <c r="K11" s="23"/>
      <c r="L11" s="25"/>
      <c r="M11" s="25"/>
      <c r="N11" s="23"/>
    </row>
    <row r="12" ht="30.0" customHeight="1">
      <c r="B12" s="21" t="str">
        <f t="shared" si="1"/>
        <v/>
      </c>
      <c r="C12" s="23"/>
      <c r="D12" s="23"/>
      <c r="E12" s="24"/>
      <c r="F12" s="25"/>
      <c r="G12" s="24"/>
      <c r="H12" s="21" t="str">
        <f t="array" ref="H12">IF(OR(E12="",F12="",G12=""),"",ROUND(E12*INDEX(Lists!$B$2:$B$5,MATCH(F12,Lists!$A$2:$A$5,0))*G12/60,1))</f>
        <v/>
      </c>
      <c r="I12" s="25"/>
      <c r="J12" s="25"/>
      <c r="K12" s="23"/>
      <c r="L12" s="25"/>
      <c r="M12" s="25"/>
      <c r="N12" s="23"/>
    </row>
    <row r="13" ht="30.0" customHeight="1">
      <c r="B13" s="21" t="str">
        <f t="shared" si="1"/>
        <v/>
      </c>
      <c r="C13" s="23"/>
      <c r="D13" s="23"/>
      <c r="E13" s="21"/>
      <c r="F13" s="25"/>
      <c r="G13" s="21"/>
      <c r="H13" s="21" t="str">
        <f t="array" ref="H13">IF(OR(E13="",F13="",G13=""),"",ROUND(E13*INDEX(Lists!$B$2:$B$5,MATCH(F13,Lists!$A$2:$A$5,0))*G13/60,1))</f>
        <v/>
      </c>
      <c r="I13" s="25"/>
      <c r="J13" s="25"/>
      <c r="K13" s="23"/>
      <c r="L13" s="25"/>
      <c r="M13" s="25"/>
      <c r="N13" s="23"/>
    </row>
    <row r="14" ht="30.0" customHeight="1">
      <c r="B14" s="21" t="str">
        <f t="shared" si="1"/>
        <v/>
      </c>
      <c r="C14" s="23"/>
      <c r="D14" s="23"/>
      <c r="E14" s="21"/>
      <c r="F14" s="25"/>
      <c r="G14" s="21"/>
      <c r="H14" s="21" t="str">
        <f t="array" ref="H14">IF(OR(E14="",F14="",G14=""),"",ROUND(E14*INDEX(Lists!$B$2:$B$5,MATCH(F14,Lists!$A$2:$A$5,0))*G14/60,1))</f>
        <v/>
      </c>
      <c r="I14" s="25"/>
      <c r="J14" s="25"/>
      <c r="K14" s="23"/>
      <c r="L14" s="25"/>
      <c r="M14" s="25"/>
      <c r="N14" s="23"/>
    </row>
    <row r="15" ht="30.0" customHeight="1">
      <c r="B15" s="21" t="str">
        <f t="shared" si="1"/>
        <v/>
      </c>
      <c r="C15" s="23"/>
      <c r="D15" s="23"/>
      <c r="E15" s="21"/>
      <c r="F15" s="25"/>
      <c r="G15" s="21"/>
      <c r="H15" s="21" t="str">
        <f t="array" ref="H15">IF(OR(E15="",F15="",G15=""),"",ROUND(E15*INDEX(Lists!$B$2:$B$5,MATCH(F15,Lists!$A$2:$A$5,0))*G15/60,1))</f>
        <v/>
      </c>
      <c r="I15" s="25"/>
      <c r="J15" s="25"/>
      <c r="K15" s="23"/>
      <c r="L15" s="25"/>
      <c r="M15" s="25"/>
      <c r="N15" s="23"/>
    </row>
    <row r="16" ht="30.0" customHeight="1">
      <c r="B16" s="21" t="str">
        <f t="shared" si="1"/>
        <v/>
      </c>
      <c r="C16" s="23"/>
      <c r="D16" s="23"/>
      <c r="E16" s="21"/>
      <c r="F16" s="25"/>
      <c r="G16" s="21"/>
      <c r="H16" s="21" t="str">
        <f t="array" ref="H16">IF(OR(E16="",F16="",G16=""),"",ROUND(E16*INDEX(Lists!$B$2:$B$5,MATCH(F16,Lists!$A$2:$A$5,0))*G16/60,1))</f>
        <v/>
      </c>
      <c r="I16" s="25"/>
      <c r="J16" s="25"/>
      <c r="K16" s="23"/>
      <c r="L16" s="25"/>
      <c r="M16" s="25"/>
      <c r="N16" s="23"/>
    </row>
    <row r="17" ht="30.0" customHeight="1">
      <c r="B17" s="21" t="str">
        <f t="shared" si="1"/>
        <v/>
      </c>
      <c r="C17" s="23"/>
      <c r="D17" s="23"/>
      <c r="E17" s="21"/>
      <c r="F17" s="25"/>
      <c r="G17" s="21"/>
      <c r="H17" s="21" t="str">
        <f t="array" ref="H17">IF(OR(E17="",F17="",G17=""),"",ROUND(E17*INDEX(Lists!$B$2:$B$5,MATCH(F17,Lists!$A$2:$A$5,0))*G17/60,1))</f>
        <v/>
      </c>
      <c r="I17" s="25"/>
      <c r="J17" s="25"/>
      <c r="K17" s="23"/>
      <c r="L17" s="25"/>
      <c r="M17" s="25"/>
      <c r="N17" s="23"/>
    </row>
    <row r="18" ht="30.0" customHeight="1">
      <c r="B18" s="21" t="str">
        <f t="shared" si="1"/>
        <v/>
      </c>
      <c r="C18" s="23"/>
      <c r="D18" s="23"/>
      <c r="E18" s="21"/>
      <c r="F18" s="25"/>
      <c r="G18" s="21"/>
      <c r="H18" s="21" t="str">
        <f t="array" ref="H18">IF(OR(E18="",F18="",G18=""),"",ROUND(E18*INDEX(Lists!$B$2:$B$5,MATCH(F18,Lists!$A$2:$A$5,0))*G18/60,1))</f>
        <v/>
      </c>
      <c r="I18" s="25"/>
      <c r="J18" s="25"/>
      <c r="K18" s="23"/>
      <c r="L18" s="25"/>
      <c r="M18" s="25"/>
      <c r="N18" s="23"/>
    </row>
    <row r="19" ht="30.0" customHeight="1">
      <c r="B19" s="21" t="str">
        <f t="shared" si="1"/>
        <v/>
      </c>
      <c r="C19" s="23"/>
      <c r="D19" s="23"/>
      <c r="E19" s="21"/>
      <c r="F19" s="25"/>
      <c r="G19" s="21"/>
      <c r="H19" s="21" t="str">
        <f t="array" ref="H19">IF(OR(E19="",F19="",G19=""),"",ROUND(E19*INDEX(Lists!$B$2:$B$5,MATCH(F19,Lists!$A$2:$A$5,0))*G19/60,1))</f>
        <v/>
      </c>
      <c r="I19" s="25"/>
      <c r="J19" s="25"/>
      <c r="K19" s="23"/>
      <c r="L19" s="25"/>
      <c r="M19" s="25"/>
      <c r="N19" s="23"/>
    </row>
    <row r="20" ht="30.0" customHeight="1">
      <c r="B20" s="21" t="str">
        <f t="shared" si="1"/>
        <v/>
      </c>
      <c r="C20" s="23"/>
      <c r="D20" s="23"/>
      <c r="E20" s="21"/>
      <c r="F20" s="25"/>
      <c r="G20" s="21"/>
      <c r="H20" s="21" t="str">
        <f t="array" ref="H20">IF(OR(E20="",F20="",G20=""),"",ROUND(E20*INDEX(Lists!$B$2:$B$5,MATCH(F20,Lists!$A$2:$A$5,0))*G20/60,1))</f>
        <v/>
      </c>
      <c r="I20" s="25"/>
      <c r="J20" s="25"/>
      <c r="K20" s="23"/>
      <c r="L20" s="25"/>
      <c r="M20" s="25"/>
      <c r="N20" s="23"/>
    </row>
    <row r="21" ht="30.0" customHeight="1">
      <c r="B21" s="21" t="str">
        <f t="shared" si="1"/>
        <v/>
      </c>
      <c r="C21" s="23"/>
      <c r="D21" s="23"/>
      <c r="E21" s="21"/>
      <c r="F21" s="25"/>
      <c r="G21" s="21"/>
      <c r="H21" s="21" t="str">
        <f t="array" ref="H21">IF(OR(E21="",F21="",G21=""),"",ROUND(E21*INDEX(Lists!$B$2:$B$5,MATCH(F21,Lists!$A$2:$A$5,0))*G21/60,1))</f>
        <v/>
      </c>
      <c r="I21" s="25"/>
      <c r="J21" s="25"/>
      <c r="K21" s="23"/>
      <c r="L21" s="25"/>
      <c r="M21" s="25"/>
      <c r="N21" s="23"/>
    </row>
    <row r="22" ht="30.0" customHeight="1">
      <c r="B22" s="21" t="str">
        <f t="shared" si="1"/>
        <v/>
      </c>
      <c r="C22" s="23"/>
      <c r="D22" s="23"/>
      <c r="E22" s="21"/>
      <c r="F22" s="25"/>
      <c r="G22" s="21"/>
      <c r="H22" s="21" t="str">
        <f t="array" ref="H22">IF(OR(E22="",F22="",G22=""),"",ROUND(E22*INDEX(Lists!$B$2:$B$5,MATCH(F22,Lists!$A$2:$A$5,0))*G22/60,1))</f>
        <v/>
      </c>
      <c r="I22" s="25"/>
      <c r="J22" s="25"/>
      <c r="K22" s="23"/>
      <c r="L22" s="25"/>
      <c r="M22" s="25"/>
      <c r="N22" s="23"/>
    </row>
    <row r="23" ht="30.0" customHeight="1">
      <c r="B23" s="21" t="str">
        <f t="shared" si="1"/>
        <v/>
      </c>
      <c r="C23" s="23"/>
      <c r="D23" s="23"/>
      <c r="E23" s="21"/>
      <c r="F23" s="25"/>
      <c r="G23" s="21"/>
      <c r="H23" s="21" t="str">
        <f t="array" ref="H23">IF(OR(E23="",F23="",G23=""),"",ROUND(E23*INDEX(Lists!$B$2:$B$5,MATCH(F23,Lists!$A$2:$A$5,0))*G23/60,1))</f>
        <v/>
      </c>
      <c r="I23" s="25"/>
      <c r="J23" s="25"/>
      <c r="K23" s="23"/>
      <c r="L23" s="25"/>
      <c r="M23" s="25"/>
      <c r="N23" s="23"/>
    </row>
    <row r="24" ht="30.0" customHeight="1">
      <c r="B24" s="21" t="str">
        <f t="shared" si="1"/>
        <v/>
      </c>
      <c r="C24" s="23"/>
      <c r="D24" s="23"/>
      <c r="E24" s="21"/>
      <c r="F24" s="25"/>
      <c r="G24" s="21"/>
      <c r="H24" s="21" t="str">
        <f t="array" ref="H24">IF(OR(E24="",F24="",G24=""),"",ROUND(E24*INDEX(Lists!$B$2:$B$5,MATCH(F24,Lists!$A$2:$A$5,0))*G24/60,1))</f>
        <v/>
      </c>
      <c r="I24" s="25"/>
      <c r="J24" s="25"/>
      <c r="K24" s="23"/>
      <c r="L24" s="25"/>
      <c r="M24" s="25"/>
      <c r="N24" s="23"/>
    </row>
    <row r="25" ht="30.0" customHeight="1">
      <c r="B25" s="21" t="str">
        <f t="shared" si="1"/>
        <v/>
      </c>
      <c r="C25" s="23"/>
      <c r="D25" s="23"/>
      <c r="E25" s="21"/>
      <c r="F25" s="25"/>
      <c r="G25" s="21"/>
      <c r="H25" s="21" t="str">
        <f t="array" ref="H25">IF(OR(E25="",F25="",G25=""),"",ROUND(E25*INDEX(Lists!$B$2:$B$5,MATCH(F25,Lists!$A$2:$A$5,0))*G25/60,1))</f>
        <v/>
      </c>
      <c r="I25" s="25"/>
      <c r="J25" s="25"/>
      <c r="K25" s="23"/>
      <c r="L25" s="25"/>
      <c r="M25" s="25"/>
      <c r="N25" s="23"/>
    </row>
    <row r="26" ht="30.0" customHeight="1">
      <c r="B26" s="21" t="str">
        <f t="shared" si="1"/>
        <v/>
      </c>
      <c r="C26" s="23"/>
      <c r="D26" s="23"/>
      <c r="E26" s="21"/>
      <c r="F26" s="25"/>
      <c r="G26" s="21"/>
      <c r="H26" s="21" t="str">
        <f t="array" ref="H26">IF(OR(E26="",F26="",G26=""),"",ROUND(E26*INDEX(Lists!$B$2:$B$5,MATCH(F26,Lists!$A$2:$A$5,0))*G26/60,1))</f>
        <v/>
      </c>
      <c r="I26" s="25"/>
      <c r="J26" s="25"/>
      <c r="K26" s="23"/>
      <c r="L26" s="25"/>
      <c r="M26" s="25"/>
      <c r="N26" s="23"/>
    </row>
    <row r="27" ht="30.0" customHeight="1">
      <c r="B27" s="21" t="str">
        <f t="shared" si="1"/>
        <v/>
      </c>
      <c r="C27" s="23"/>
      <c r="D27" s="23"/>
      <c r="E27" s="21"/>
      <c r="F27" s="25"/>
      <c r="G27" s="21"/>
      <c r="H27" s="21" t="str">
        <f t="array" ref="H27">IF(OR(E27="",F27="",G27=""),"",ROUND(E27*INDEX(Lists!$B$2:$B$5,MATCH(F27,Lists!$A$2:$A$5,0))*G27/60,1))</f>
        <v/>
      </c>
      <c r="I27" s="25"/>
      <c r="J27" s="25"/>
      <c r="K27" s="23"/>
      <c r="L27" s="25"/>
      <c r="M27" s="25"/>
      <c r="N27" s="23"/>
    </row>
    <row r="28" ht="30.0" customHeight="1">
      <c r="B28" s="21" t="str">
        <f t="shared" si="1"/>
        <v/>
      </c>
      <c r="C28" s="23"/>
      <c r="D28" s="23"/>
      <c r="E28" s="21"/>
      <c r="F28" s="25"/>
      <c r="G28" s="21"/>
      <c r="H28" s="21" t="str">
        <f t="array" ref="H28">IF(OR(E28="",F28="",G28=""),"",ROUND(E28*INDEX(Lists!$B$2:$B$5,MATCH(F28,Lists!$A$2:$A$5,0))*G28/60,1))</f>
        <v/>
      </c>
      <c r="I28" s="25"/>
      <c r="J28" s="25"/>
      <c r="K28" s="23"/>
      <c r="L28" s="25"/>
      <c r="M28" s="25"/>
      <c r="N28" s="23"/>
    </row>
    <row r="29" ht="30.0" customHeight="1">
      <c r="B29" s="21" t="str">
        <f t="shared" si="1"/>
        <v/>
      </c>
      <c r="C29" s="23"/>
      <c r="D29" s="23"/>
      <c r="E29" s="21"/>
      <c r="F29" s="25"/>
      <c r="G29" s="21"/>
      <c r="H29" s="21" t="str">
        <f t="array" ref="H29">IF(OR(E29="",F29="",G29=""),"",ROUND(E29*INDEX(Lists!$B$2:$B$5,MATCH(F29,Lists!$A$2:$A$5,0))*G29/60,1))</f>
        <v/>
      </c>
      <c r="I29" s="25"/>
      <c r="J29" s="25"/>
      <c r="K29" s="23"/>
      <c r="L29" s="25"/>
      <c r="M29" s="25"/>
      <c r="N29" s="23"/>
    </row>
    <row r="30" ht="30.0" customHeight="1">
      <c r="B30" s="21" t="str">
        <f t="shared" si="1"/>
        <v/>
      </c>
      <c r="C30" s="23"/>
      <c r="D30" s="23"/>
      <c r="E30" s="21"/>
      <c r="F30" s="25"/>
      <c r="G30" s="21"/>
      <c r="H30" s="21" t="str">
        <f t="array" ref="H30">IF(OR(E30="",F30="",G30=""),"",ROUND(E30*INDEX(Lists!$B$2:$B$5,MATCH(F30,Lists!$A$2:$A$5,0))*G30/60,1))</f>
        <v/>
      </c>
      <c r="I30" s="25"/>
      <c r="J30" s="25"/>
      <c r="K30" s="23"/>
      <c r="L30" s="25"/>
      <c r="M30" s="25"/>
      <c r="N30" s="23"/>
    </row>
    <row r="31" ht="30.0" customHeight="1">
      <c r="B31" s="21" t="str">
        <f t="shared" si="1"/>
        <v/>
      </c>
      <c r="C31" s="23"/>
      <c r="D31" s="23"/>
      <c r="E31" s="21"/>
      <c r="F31" s="25"/>
      <c r="G31" s="21"/>
      <c r="H31" s="21" t="str">
        <f t="array" ref="H31">IF(OR(E31="",F31="",G31=""),"",ROUND(E31*INDEX(Lists!$B$2:$B$5,MATCH(F31,Lists!$A$2:$A$5,0))*G31/60,1))</f>
        <v/>
      </c>
      <c r="I31" s="25"/>
      <c r="J31" s="25"/>
      <c r="K31" s="23"/>
      <c r="L31" s="25"/>
      <c r="M31" s="25"/>
      <c r="N31" s="23"/>
    </row>
    <row r="32" ht="30.0" customHeight="1">
      <c r="B32" s="21" t="str">
        <f t="shared" si="1"/>
        <v/>
      </c>
      <c r="C32" s="23"/>
      <c r="D32" s="23"/>
      <c r="E32" s="21"/>
      <c r="F32" s="25"/>
      <c r="G32" s="21"/>
      <c r="H32" s="21" t="str">
        <f t="array" ref="H32">IF(OR(E32="",F32="",G32=""),"",ROUND(E32*INDEX(Lists!$B$2:$B$5,MATCH(F32,Lists!$A$2:$A$5,0))*G32/60,1))</f>
        <v/>
      </c>
      <c r="I32" s="25"/>
      <c r="J32" s="25"/>
      <c r="K32" s="23"/>
      <c r="L32" s="25"/>
      <c r="M32" s="25"/>
      <c r="N32" s="23"/>
    </row>
    <row r="33" ht="30.0" customHeight="1">
      <c r="B33" s="21" t="str">
        <f t="shared" si="1"/>
        <v/>
      </c>
      <c r="C33" s="23"/>
      <c r="D33" s="23"/>
      <c r="E33" s="21"/>
      <c r="F33" s="25"/>
      <c r="G33" s="21"/>
      <c r="H33" s="21" t="str">
        <f t="array" ref="H33">IF(OR(E33="",F33="",G33=""),"",ROUND(E33*INDEX(Lists!$B$2:$B$5,MATCH(F33,Lists!$A$2:$A$5,0))*G33/60,1))</f>
        <v/>
      </c>
      <c r="I33" s="25"/>
      <c r="J33" s="25"/>
      <c r="K33" s="23"/>
      <c r="L33" s="25"/>
      <c r="M33" s="25"/>
      <c r="N33" s="23"/>
    </row>
    <row r="34" ht="30.0" customHeight="1">
      <c r="B34" s="21" t="str">
        <f t="shared" si="1"/>
        <v/>
      </c>
      <c r="C34" s="23"/>
      <c r="D34" s="23"/>
      <c r="E34" s="21"/>
      <c r="F34" s="25"/>
      <c r="G34" s="21"/>
      <c r="H34" s="21" t="str">
        <f t="array" ref="H34">IF(OR(E34="",F34="",G34=""),"",ROUND(E34*INDEX(Lists!$B$2:$B$5,MATCH(F34,Lists!$A$2:$A$5,0))*G34/60,1))</f>
        <v/>
      </c>
      <c r="I34" s="25"/>
      <c r="J34" s="25"/>
      <c r="K34" s="23"/>
      <c r="L34" s="25"/>
      <c r="M34" s="25"/>
      <c r="N34" s="23"/>
    </row>
    <row r="35" ht="30.0" customHeight="1">
      <c r="B35" s="21" t="str">
        <f t="shared" si="1"/>
        <v/>
      </c>
      <c r="C35" s="23"/>
      <c r="D35" s="23"/>
      <c r="E35" s="21"/>
      <c r="F35" s="25"/>
      <c r="G35" s="21"/>
      <c r="H35" s="21" t="str">
        <f t="array" ref="H35">IF(OR(E35="",F35="",G35=""),"",ROUND(E35*INDEX(Lists!$B$2:$B$5,MATCH(F35,Lists!$A$2:$A$5,0))*G35/60,1))</f>
        <v/>
      </c>
      <c r="I35" s="25"/>
      <c r="J35" s="25"/>
      <c r="K35" s="23"/>
      <c r="L35" s="25"/>
      <c r="M35" s="25"/>
      <c r="N35" s="23"/>
    </row>
    <row r="36" ht="30.0" customHeight="1">
      <c r="B36" s="21" t="str">
        <f t="shared" si="1"/>
        <v/>
      </c>
      <c r="C36" s="23"/>
      <c r="D36" s="23"/>
      <c r="E36" s="21"/>
      <c r="F36" s="25"/>
      <c r="G36" s="21"/>
      <c r="H36" s="21" t="str">
        <f t="array" ref="H36">IF(OR(E36="",F36="",G36=""),"",ROUND(E36*INDEX(Lists!$B$2:$B$5,MATCH(F36,Lists!$A$2:$A$5,0))*G36/60,1))</f>
        <v/>
      </c>
      <c r="I36" s="25"/>
      <c r="J36" s="25"/>
      <c r="K36" s="23"/>
      <c r="L36" s="25"/>
      <c r="M36" s="25"/>
      <c r="N36" s="23"/>
    </row>
    <row r="37" ht="30.0" customHeight="1">
      <c r="B37" s="21" t="str">
        <f t="shared" si="1"/>
        <v/>
      </c>
      <c r="C37" s="23"/>
      <c r="D37" s="23"/>
      <c r="E37" s="21"/>
      <c r="F37" s="25"/>
      <c r="G37" s="21"/>
      <c r="H37" s="21" t="str">
        <f t="array" ref="H37">IF(OR(E37="",F37="",G37=""),"",ROUND(E37*INDEX(Lists!$B$2:$B$5,MATCH(F37,Lists!$A$2:$A$5,0))*G37/60,1))</f>
        <v/>
      </c>
      <c r="I37" s="25"/>
      <c r="J37" s="25"/>
      <c r="K37" s="23"/>
      <c r="L37" s="25"/>
      <c r="M37" s="25"/>
      <c r="N37" s="23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B3:N3"/>
    <mergeCell ref="B4:N4"/>
  </mergeCells>
  <dataValidations>
    <dataValidation type="list" allowBlank="1" sqref="J8:J37">
      <formula1>"Minor: easy to fix,Moderate: costs time or goodwill,Serious: money, legal or customer harm"</formula1>
    </dataValidation>
    <dataValidation type="list" allowBlank="1" sqref="M8:M37">
      <formula1>"Keep with people,People, with tool help,Tool alone is fine,Tool drafts, person checks,Not sure"</formula1>
    </dataValidation>
    <dataValidation type="list" allowBlank="1" sqref="F8:F37">
      <formula1>"Day,Week,Month,Year"</formula1>
    </dataValidation>
    <dataValidation type="custom" allowBlank="1" showDropDown="1" sqref="B8:B37 E8:E37 G8:H37">
      <formula1>AND(ISNUMBER(B8),(NOT(OR(NOT(ISERROR(DATEVALUE(B8))), AND(ISNUMBER(B8), LEFT(CELL("format", B8))="D")))))</formula1>
    </dataValidation>
    <dataValidation type="list" allowBlank="1" sqref="L8:L37">
      <formula1>"Slow,Repetitive,Easy to get wrong,Waiting on others,Not hard"</formula1>
    </dataValidation>
    <dataValidation allowBlank="1" showDropDown="1" sqref="C8:D37 K8:K37 N8:N37"/>
    <dataValidation type="list" allowBlank="1" sqref="I8:I37">
      <formula1>"Follow a checklist,Weigh it up, within limits,Needs deep experience"</formula1>
    </dataValidation>
  </dataValidations>
  <hyperlinks>
    <hyperlink display="← Start here" location="'Start here'!A1" ref="B1"/>
  </hyperlink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766E"/>
    <pageSetUpPr fitToPage="1"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4.0"/>
    <col customWidth="1" min="3" max="5" width="38.0"/>
    <col customWidth="1" min="6" max="6" width="30.29"/>
    <col customWidth="1" min="7" max="7" width="30.0"/>
  </cols>
  <sheetData>
    <row r="1">
      <c r="B1" s="11" t="s">
        <v>15</v>
      </c>
    </row>
    <row r="2" ht="30.0" customHeight="1">
      <c r="B2" s="1" t="s">
        <v>18</v>
      </c>
    </row>
    <row r="3" ht="33.75" customHeight="1">
      <c r="B3" s="2" t="s">
        <v>21</v>
      </c>
    </row>
    <row r="4">
      <c r="B4" s="13" t="s">
        <v>24</v>
      </c>
    </row>
    <row r="7" ht="43.5" customHeight="1">
      <c r="B7" s="14" t="s">
        <v>26</v>
      </c>
      <c r="C7" s="14" t="s">
        <v>28</v>
      </c>
      <c r="D7" s="14" t="s">
        <v>31</v>
      </c>
      <c r="E7" s="14" t="s">
        <v>37</v>
      </c>
      <c r="F7" s="14" t="s">
        <v>38</v>
      </c>
      <c r="G7" s="14" t="s">
        <v>41</v>
      </c>
    </row>
    <row r="8" ht="43.5" customHeight="1">
      <c r="B8" s="18" t="str">
        <f>IF(Tasks!C8="","",Tasks!C8)</f>
        <v/>
      </c>
      <c r="C8" s="19"/>
      <c r="D8" s="19"/>
      <c r="E8" s="19"/>
      <c r="F8" s="19"/>
      <c r="G8" s="19"/>
    </row>
    <row r="9" ht="43.5" customHeight="1">
      <c r="B9" s="18" t="str">
        <f>IF(Tasks!C9="","",Tasks!C9)</f>
        <v/>
      </c>
      <c r="C9" s="20"/>
      <c r="D9" s="20"/>
      <c r="E9" s="20"/>
      <c r="F9" s="20"/>
      <c r="G9" s="20"/>
    </row>
    <row r="10" ht="43.5" customHeight="1">
      <c r="B10" s="18" t="str">
        <f>IF(Tasks!C10="","",Tasks!C10)</f>
        <v/>
      </c>
      <c r="C10" s="19"/>
      <c r="D10" s="19"/>
      <c r="E10" s="19"/>
      <c r="F10" s="19"/>
      <c r="G10" s="19"/>
    </row>
    <row r="11" ht="43.5" customHeight="1">
      <c r="B11" s="18" t="str">
        <f>IF(Tasks!C11="","",Tasks!C11)</f>
        <v/>
      </c>
      <c r="C11" s="19"/>
      <c r="D11" s="19"/>
      <c r="E11" s="19"/>
      <c r="F11" s="19"/>
      <c r="G11" s="19"/>
    </row>
    <row r="12" ht="43.5" customHeight="1">
      <c r="B12" s="18" t="str">
        <f>IF(Tasks!C12="","",Tasks!C12)</f>
        <v/>
      </c>
      <c r="C12" s="19"/>
      <c r="D12" s="19"/>
      <c r="E12" s="19"/>
      <c r="F12" s="19"/>
      <c r="G12" s="19"/>
    </row>
    <row r="13" ht="43.5" customHeight="1">
      <c r="B13" s="18" t="str">
        <f>IF(Tasks!C13="","",Tasks!C13)</f>
        <v/>
      </c>
      <c r="C13" s="19"/>
      <c r="D13" s="19"/>
      <c r="E13" s="19"/>
      <c r="F13" s="19"/>
      <c r="G13" s="19"/>
    </row>
    <row r="14" ht="43.5" customHeight="1">
      <c r="B14" s="18" t="str">
        <f>IF(Tasks!C14="","",Tasks!C14)</f>
        <v/>
      </c>
      <c r="C14" s="19"/>
      <c r="D14" s="19"/>
      <c r="E14" s="19"/>
      <c r="F14" s="19"/>
      <c r="G14" s="19"/>
    </row>
    <row r="15" ht="43.5" customHeight="1">
      <c r="B15" s="18" t="str">
        <f>IF(Tasks!C15="","",Tasks!C15)</f>
        <v/>
      </c>
      <c r="C15" s="19"/>
      <c r="D15" s="19"/>
      <c r="E15" s="19"/>
      <c r="F15" s="19"/>
      <c r="G15" s="19"/>
    </row>
    <row r="16" ht="43.5" customHeight="1">
      <c r="B16" s="18" t="str">
        <f>IF(Tasks!C16="","",Tasks!C16)</f>
        <v/>
      </c>
      <c r="C16" s="19"/>
      <c r="D16" s="19"/>
      <c r="E16" s="19"/>
      <c r="F16" s="19"/>
      <c r="G16" s="19"/>
    </row>
    <row r="17" ht="43.5" customHeight="1">
      <c r="B17" s="18" t="str">
        <f>IF(Tasks!C17="","",Tasks!C17)</f>
        <v/>
      </c>
      <c r="C17" s="19"/>
      <c r="D17" s="19"/>
      <c r="E17" s="19"/>
      <c r="F17" s="19"/>
      <c r="G17" s="19"/>
    </row>
    <row r="18" ht="43.5" customHeight="1">
      <c r="B18" s="18" t="str">
        <f>IF(Tasks!C18="","",Tasks!C18)</f>
        <v/>
      </c>
      <c r="C18" s="19"/>
      <c r="D18" s="19"/>
      <c r="E18" s="19"/>
      <c r="F18" s="19"/>
      <c r="G18" s="19"/>
    </row>
    <row r="19" ht="43.5" customHeight="1">
      <c r="B19" s="18" t="str">
        <f>IF(Tasks!C19="","",Tasks!C19)</f>
        <v/>
      </c>
      <c r="C19" s="19"/>
      <c r="D19" s="19"/>
      <c r="E19" s="19"/>
      <c r="F19" s="19"/>
      <c r="G19" s="19"/>
    </row>
    <row r="20" ht="43.5" customHeight="1">
      <c r="B20" s="18" t="str">
        <f>IF(Tasks!C20="","",Tasks!C20)</f>
        <v/>
      </c>
      <c r="C20" s="19"/>
      <c r="D20" s="19"/>
      <c r="E20" s="19"/>
      <c r="F20" s="19"/>
      <c r="G20" s="19"/>
    </row>
    <row r="21" ht="43.5" customHeight="1">
      <c r="B21" s="18" t="str">
        <f>IF(Tasks!C21="","",Tasks!C21)</f>
        <v/>
      </c>
      <c r="C21" s="19"/>
      <c r="D21" s="19"/>
      <c r="E21" s="19"/>
      <c r="F21" s="19"/>
      <c r="G21" s="19"/>
    </row>
    <row r="22" ht="43.5" customHeight="1">
      <c r="B22" s="18" t="str">
        <f>IF(Tasks!C22="","",Tasks!C22)</f>
        <v/>
      </c>
      <c r="C22" s="19"/>
      <c r="D22" s="19"/>
      <c r="E22" s="19"/>
      <c r="F22" s="19"/>
      <c r="G22" s="19"/>
    </row>
    <row r="23" ht="43.5" customHeight="1">
      <c r="B23" s="18" t="str">
        <f>IF(Tasks!C23="","",Tasks!C23)</f>
        <v/>
      </c>
      <c r="C23" s="19"/>
      <c r="D23" s="19"/>
      <c r="E23" s="19"/>
      <c r="F23" s="19"/>
      <c r="G23" s="19"/>
    </row>
    <row r="24" ht="43.5" customHeight="1">
      <c r="B24" s="18" t="str">
        <f>IF(Tasks!C24="","",Tasks!C24)</f>
        <v/>
      </c>
      <c r="C24" s="19"/>
      <c r="D24" s="19"/>
      <c r="E24" s="19"/>
      <c r="F24" s="19"/>
      <c r="G24" s="19"/>
    </row>
    <row r="25" ht="43.5" customHeight="1">
      <c r="B25" s="18" t="str">
        <f>IF(Tasks!C25="","",Tasks!C25)</f>
        <v/>
      </c>
      <c r="C25" s="19"/>
      <c r="D25" s="19"/>
      <c r="E25" s="19"/>
      <c r="F25" s="19"/>
      <c r="G25" s="19"/>
    </row>
    <row r="26" ht="43.5" customHeight="1">
      <c r="B26" s="18" t="str">
        <f>IF(Tasks!C26="","",Tasks!C26)</f>
        <v/>
      </c>
      <c r="C26" s="19"/>
      <c r="D26" s="19"/>
      <c r="E26" s="19"/>
      <c r="F26" s="19"/>
      <c r="G26" s="19"/>
    </row>
    <row r="27" ht="43.5" customHeight="1">
      <c r="B27" s="18" t="str">
        <f>IF(Tasks!C27="","",Tasks!C27)</f>
        <v/>
      </c>
      <c r="C27" s="19"/>
      <c r="D27" s="19"/>
      <c r="E27" s="19"/>
      <c r="F27" s="19"/>
      <c r="G27" s="19"/>
    </row>
    <row r="28" ht="43.5" customHeight="1">
      <c r="B28" s="18" t="str">
        <f>IF(Tasks!C28="","",Tasks!C28)</f>
        <v/>
      </c>
      <c r="C28" s="19"/>
      <c r="D28" s="19"/>
      <c r="E28" s="19"/>
      <c r="F28" s="19"/>
      <c r="G28" s="19"/>
    </row>
    <row r="29" ht="43.5" customHeight="1">
      <c r="B29" s="18" t="str">
        <f>IF(Tasks!C29="","",Tasks!C29)</f>
        <v/>
      </c>
      <c r="C29" s="19"/>
      <c r="D29" s="19"/>
      <c r="E29" s="19"/>
      <c r="F29" s="19"/>
      <c r="G29" s="19"/>
    </row>
    <row r="30" ht="43.5" customHeight="1">
      <c r="B30" s="18" t="str">
        <f>IF(Tasks!C30="","",Tasks!C30)</f>
        <v/>
      </c>
      <c r="C30" s="19"/>
      <c r="D30" s="19"/>
      <c r="E30" s="19"/>
      <c r="F30" s="19"/>
      <c r="G30" s="19"/>
    </row>
    <row r="31" ht="43.5" customHeight="1">
      <c r="B31" s="18" t="str">
        <f>IF(Tasks!C31="","",Tasks!C31)</f>
        <v/>
      </c>
      <c r="C31" s="19"/>
      <c r="D31" s="19"/>
      <c r="E31" s="19"/>
      <c r="F31" s="19"/>
      <c r="G31" s="19"/>
    </row>
    <row r="32" ht="43.5" customHeight="1">
      <c r="B32" s="18" t="str">
        <f>IF(Tasks!C32="","",Tasks!C32)</f>
        <v/>
      </c>
      <c r="C32" s="19"/>
      <c r="D32" s="19"/>
      <c r="E32" s="19"/>
      <c r="F32" s="19"/>
      <c r="G32" s="19"/>
    </row>
    <row r="33" ht="43.5" customHeight="1">
      <c r="B33" s="18" t="str">
        <f>IF(Tasks!C33="","",Tasks!C33)</f>
        <v/>
      </c>
      <c r="C33" s="19"/>
      <c r="D33" s="19"/>
      <c r="E33" s="19"/>
      <c r="F33" s="19"/>
      <c r="G33" s="19"/>
    </row>
    <row r="34" ht="43.5" customHeight="1">
      <c r="B34" s="18" t="str">
        <f>IF(Tasks!C34="","",Tasks!C34)</f>
        <v/>
      </c>
      <c r="C34" s="19"/>
      <c r="D34" s="19"/>
      <c r="E34" s="19"/>
      <c r="F34" s="19"/>
      <c r="G34" s="19"/>
    </row>
    <row r="35" ht="43.5" customHeight="1">
      <c r="B35" s="18" t="str">
        <f>IF(Tasks!C35="","",Tasks!C35)</f>
        <v/>
      </c>
      <c r="C35" s="19"/>
      <c r="D35" s="19"/>
      <c r="E35" s="19"/>
      <c r="F35" s="19"/>
      <c r="G35" s="19"/>
    </row>
    <row r="36" ht="43.5" customHeight="1">
      <c r="B36" s="18" t="str">
        <f>IF(Tasks!C36="","",Tasks!C36)</f>
        <v/>
      </c>
      <c r="C36" s="19"/>
      <c r="D36" s="19"/>
      <c r="E36" s="19"/>
      <c r="F36" s="19"/>
      <c r="G36" s="19"/>
    </row>
    <row r="37" ht="43.5" customHeight="1">
      <c r="B37" s="18" t="str">
        <f>IF(Tasks!C37="","",Tasks!C37)</f>
        <v/>
      </c>
      <c r="C37" s="19"/>
      <c r="D37" s="19"/>
      <c r="E37" s="19"/>
      <c r="F37" s="19"/>
      <c r="G37" s="19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B3:G3"/>
    <mergeCell ref="B4:G4"/>
  </mergeCells>
  <dataValidations>
    <dataValidation allowBlank="1" showDropDown="1" sqref="B8:G37"/>
  </dataValidations>
  <hyperlinks>
    <hyperlink display="← Start here" location="'Start here'!A1" ref="B1"/>
  </hyperlink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766E"/>
    <pageSetUpPr fitToPage="1"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4.0"/>
    <col customWidth="1" min="3" max="3" width="38.0"/>
    <col customWidth="1" min="4" max="4" width="28.0"/>
    <col customWidth="1" min="5" max="5" width="34.0"/>
    <col customWidth="1" min="6" max="6" width="19.57"/>
    <col customWidth="1" min="7" max="7" width="36.0"/>
    <col customWidth="1" min="8" max="8" width="14.14"/>
    <col customWidth="1" min="9" max="9" width="16.71"/>
  </cols>
  <sheetData>
    <row r="1">
      <c r="B1" s="11" t="s">
        <v>15</v>
      </c>
    </row>
    <row r="2" ht="30.0" customHeight="1">
      <c r="B2" s="1" t="s">
        <v>19</v>
      </c>
    </row>
    <row r="3" ht="33.75" customHeight="1">
      <c r="B3" s="2" t="s">
        <v>22</v>
      </c>
    </row>
    <row r="7" ht="43.5" customHeight="1">
      <c r="B7" s="14" t="s">
        <v>26</v>
      </c>
      <c r="C7" s="14" t="s">
        <v>29</v>
      </c>
      <c r="D7" s="14" t="s">
        <v>32</v>
      </c>
      <c r="E7" s="14" t="s">
        <v>34</v>
      </c>
      <c r="F7" s="14" t="s">
        <v>35</v>
      </c>
      <c r="G7" s="14" t="s">
        <v>39</v>
      </c>
      <c r="H7" s="14" t="s">
        <v>42</v>
      </c>
      <c r="I7" s="14" t="s">
        <v>44</v>
      </c>
    </row>
    <row r="8" ht="33.75" customHeight="1">
      <c r="B8" s="20"/>
      <c r="C8" s="20"/>
      <c r="D8" s="19"/>
      <c r="E8" s="19"/>
      <c r="F8" s="22"/>
      <c r="G8" s="19"/>
      <c r="H8" s="22"/>
      <c r="I8" s="22"/>
    </row>
    <row r="9" ht="33.75" customHeight="1">
      <c r="B9" s="20"/>
      <c r="C9" s="20"/>
      <c r="D9" s="19"/>
      <c r="E9" s="19"/>
      <c r="F9" s="22"/>
      <c r="G9" s="19"/>
      <c r="H9" s="22"/>
      <c r="I9" s="22"/>
    </row>
    <row r="10" ht="33.75" customHeight="1">
      <c r="B10" s="20"/>
      <c r="C10" s="20"/>
      <c r="D10" s="19"/>
      <c r="E10" s="19"/>
      <c r="F10" s="22"/>
      <c r="G10" s="19"/>
      <c r="H10" s="22"/>
      <c r="I10" s="22"/>
    </row>
    <row r="11" ht="33.75" customHeight="1">
      <c r="B11" s="19"/>
      <c r="C11" s="19"/>
      <c r="D11" s="19"/>
      <c r="E11" s="19"/>
      <c r="F11" s="22"/>
      <c r="G11" s="19"/>
      <c r="H11" s="22"/>
      <c r="I11" s="22"/>
    </row>
    <row r="12" ht="33.75" customHeight="1">
      <c r="B12" s="19"/>
      <c r="C12" s="19"/>
      <c r="D12" s="19"/>
      <c r="E12" s="19"/>
      <c r="F12" s="22"/>
      <c r="G12" s="19"/>
      <c r="H12" s="22"/>
      <c r="I12" s="22"/>
    </row>
    <row r="13" ht="33.75" customHeight="1">
      <c r="B13" s="19"/>
      <c r="C13" s="19"/>
      <c r="D13" s="19"/>
      <c r="E13" s="19"/>
      <c r="F13" s="22"/>
      <c r="G13" s="19"/>
      <c r="H13" s="22"/>
      <c r="I13" s="22"/>
    </row>
    <row r="14" ht="33.75" customHeight="1">
      <c r="B14" s="19"/>
      <c r="C14" s="19"/>
      <c r="D14" s="19"/>
      <c r="E14" s="19"/>
      <c r="F14" s="22"/>
      <c r="G14" s="19"/>
      <c r="H14" s="22"/>
      <c r="I14" s="22"/>
    </row>
    <row r="15" ht="33.75" customHeight="1">
      <c r="B15" s="19"/>
      <c r="C15" s="19"/>
      <c r="D15" s="19"/>
      <c r="E15" s="19"/>
      <c r="F15" s="22"/>
      <c r="G15" s="19"/>
      <c r="H15" s="22"/>
      <c r="I15" s="22"/>
    </row>
    <row r="16" ht="33.75" customHeight="1">
      <c r="B16" s="19"/>
      <c r="C16" s="19"/>
      <c r="D16" s="19"/>
      <c r="E16" s="19"/>
      <c r="F16" s="22"/>
      <c r="G16" s="19"/>
      <c r="H16" s="22"/>
      <c r="I16" s="22"/>
    </row>
    <row r="17" ht="33.75" customHeight="1">
      <c r="B17" s="19"/>
      <c r="C17" s="19"/>
      <c r="D17" s="19"/>
      <c r="E17" s="19"/>
      <c r="F17" s="22"/>
      <c r="G17" s="19"/>
      <c r="H17" s="22"/>
      <c r="I17" s="22"/>
    </row>
    <row r="18" ht="33.75" customHeight="1">
      <c r="B18" s="19"/>
      <c r="C18" s="19"/>
      <c r="D18" s="19"/>
      <c r="E18" s="19"/>
      <c r="F18" s="22"/>
      <c r="G18" s="19"/>
      <c r="H18" s="22"/>
      <c r="I18" s="22"/>
    </row>
    <row r="19" ht="33.75" customHeight="1">
      <c r="B19" s="19"/>
      <c r="C19" s="19"/>
      <c r="D19" s="19"/>
      <c r="E19" s="19"/>
      <c r="F19" s="22"/>
      <c r="G19" s="19"/>
      <c r="H19" s="22"/>
      <c r="I19" s="22"/>
    </row>
    <row r="20" ht="33.75" customHeight="1">
      <c r="B20" s="19"/>
      <c r="C20" s="19"/>
      <c r="D20" s="19"/>
      <c r="E20" s="19"/>
      <c r="F20" s="22"/>
      <c r="G20" s="19"/>
      <c r="H20" s="22"/>
      <c r="I20" s="22"/>
    </row>
    <row r="21" ht="33.75" customHeight="1">
      <c r="B21" s="19"/>
      <c r="C21" s="19"/>
      <c r="D21" s="19"/>
      <c r="E21" s="19"/>
      <c r="F21" s="22"/>
      <c r="G21" s="19"/>
      <c r="H21" s="22"/>
      <c r="I21" s="22"/>
    </row>
    <row r="22" ht="33.75" customHeight="1">
      <c r="B22" s="19"/>
      <c r="C22" s="19"/>
      <c r="D22" s="19"/>
      <c r="E22" s="19"/>
      <c r="F22" s="22"/>
      <c r="G22" s="19"/>
      <c r="H22" s="22"/>
      <c r="I22" s="22"/>
    </row>
    <row r="23" ht="33.75" customHeight="1">
      <c r="B23" s="19"/>
      <c r="C23" s="19"/>
      <c r="D23" s="19"/>
      <c r="E23" s="19"/>
      <c r="F23" s="22"/>
      <c r="G23" s="19"/>
      <c r="H23" s="22"/>
      <c r="I23" s="22"/>
    </row>
    <row r="24" ht="33.75" customHeight="1">
      <c r="B24" s="19"/>
      <c r="C24" s="19"/>
      <c r="D24" s="19"/>
      <c r="E24" s="19"/>
      <c r="F24" s="22"/>
      <c r="G24" s="19"/>
      <c r="H24" s="22"/>
      <c r="I24" s="22"/>
    </row>
    <row r="25" ht="33.75" customHeight="1">
      <c r="B25" s="19"/>
      <c r="C25" s="19"/>
      <c r="D25" s="19"/>
      <c r="E25" s="19"/>
      <c r="F25" s="22"/>
      <c r="G25" s="19"/>
      <c r="H25" s="22"/>
      <c r="I25" s="22"/>
    </row>
    <row r="26" ht="33.75" customHeight="1">
      <c r="B26" s="19"/>
      <c r="C26" s="19"/>
      <c r="D26" s="19"/>
      <c r="E26" s="19"/>
      <c r="F26" s="22"/>
      <c r="G26" s="19"/>
      <c r="H26" s="22"/>
      <c r="I26" s="22"/>
    </row>
    <row r="27" ht="33.75" customHeight="1">
      <c r="B27" s="19"/>
      <c r="C27" s="19"/>
      <c r="D27" s="19"/>
      <c r="E27" s="19"/>
      <c r="F27" s="22"/>
      <c r="G27" s="19"/>
      <c r="H27" s="22"/>
      <c r="I27" s="22"/>
    </row>
    <row r="28" ht="33.75" customHeight="1">
      <c r="B28" s="19"/>
      <c r="C28" s="19"/>
      <c r="D28" s="19"/>
      <c r="E28" s="19"/>
      <c r="F28" s="22"/>
      <c r="G28" s="19"/>
      <c r="H28" s="22"/>
      <c r="I28" s="22"/>
    </row>
    <row r="29" ht="33.75" customHeight="1">
      <c r="B29" s="19"/>
      <c r="C29" s="19"/>
      <c r="D29" s="19"/>
      <c r="E29" s="19"/>
      <c r="F29" s="22"/>
      <c r="G29" s="19"/>
      <c r="H29" s="22"/>
      <c r="I29" s="22"/>
    </row>
    <row r="30" ht="33.75" customHeight="1">
      <c r="B30" s="19"/>
      <c r="C30" s="19"/>
      <c r="D30" s="19"/>
      <c r="E30" s="19"/>
      <c r="F30" s="22"/>
      <c r="G30" s="19"/>
      <c r="H30" s="22"/>
      <c r="I30" s="22"/>
    </row>
    <row r="31" ht="33.75" customHeight="1">
      <c r="B31" s="19"/>
      <c r="C31" s="19"/>
      <c r="D31" s="19"/>
      <c r="E31" s="19"/>
      <c r="F31" s="22"/>
      <c r="G31" s="19"/>
      <c r="H31" s="22"/>
      <c r="I31" s="22"/>
    </row>
    <row r="32" ht="33.75" customHeight="1">
      <c r="B32" s="19"/>
      <c r="C32" s="19"/>
      <c r="D32" s="19"/>
      <c r="E32" s="19"/>
      <c r="F32" s="22"/>
      <c r="G32" s="19"/>
      <c r="H32" s="22"/>
      <c r="I32" s="22"/>
    </row>
    <row r="33" ht="33.75" customHeight="1">
      <c r="B33" s="19"/>
      <c r="C33" s="19"/>
      <c r="D33" s="19"/>
      <c r="E33" s="19"/>
      <c r="F33" s="22"/>
      <c r="G33" s="19"/>
      <c r="H33" s="22"/>
      <c r="I33" s="22"/>
    </row>
    <row r="34" ht="33.75" customHeight="1">
      <c r="B34" s="19"/>
      <c r="C34" s="19"/>
      <c r="D34" s="19"/>
      <c r="E34" s="19"/>
      <c r="F34" s="22"/>
      <c r="G34" s="19"/>
      <c r="H34" s="22"/>
      <c r="I34" s="22"/>
    </row>
    <row r="35" ht="33.75" customHeight="1">
      <c r="B35" s="19"/>
      <c r="C35" s="19"/>
      <c r="D35" s="19"/>
      <c r="E35" s="19"/>
      <c r="F35" s="22"/>
      <c r="G35" s="19"/>
      <c r="H35" s="22"/>
      <c r="I35" s="22"/>
    </row>
    <row r="36" ht="33.75" customHeight="1">
      <c r="B36" s="19"/>
      <c r="C36" s="19"/>
      <c r="D36" s="19"/>
      <c r="E36" s="19"/>
      <c r="F36" s="22"/>
      <c r="G36" s="19"/>
      <c r="H36" s="22"/>
      <c r="I36" s="22"/>
    </row>
    <row r="37" ht="33.75" customHeight="1">
      <c r="B37" s="19"/>
      <c r="C37" s="19"/>
      <c r="D37" s="19"/>
      <c r="E37" s="19"/>
      <c r="F37" s="22"/>
      <c r="G37" s="19"/>
      <c r="H37" s="22"/>
      <c r="I37" s="22"/>
    </row>
    <row r="38" ht="33.75" customHeight="1">
      <c r="B38" s="19"/>
      <c r="C38" s="19"/>
      <c r="D38" s="19"/>
      <c r="E38" s="19"/>
      <c r="F38" s="22"/>
      <c r="G38" s="19"/>
      <c r="H38" s="22"/>
      <c r="I38" s="22"/>
    </row>
    <row r="39" ht="33.75" customHeight="1">
      <c r="B39" s="19"/>
      <c r="C39" s="19"/>
      <c r="D39" s="19"/>
      <c r="E39" s="19"/>
      <c r="F39" s="22"/>
      <c r="G39" s="19"/>
      <c r="H39" s="22"/>
      <c r="I39" s="22"/>
    </row>
    <row r="40" ht="33.75" customHeight="1">
      <c r="B40" s="19"/>
      <c r="C40" s="19"/>
      <c r="D40" s="19"/>
      <c r="E40" s="19"/>
      <c r="F40" s="22"/>
      <c r="G40" s="19"/>
      <c r="H40" s="22"/>
      <c r="I40" s="22"/>
    </row>
    <row r="41" ht="33.75" customHeight="1">
      <c r="B41" s="19"/>
      <c r="C41" s="19"/>
      <c r="D41" s="19"/>
      <c r="E41" s="19"/>
      <c r="F41" s="22"/>
      <c r="G41" s="19"/>
      <c r="H41" s="22"/>
      <c r="I41" s="22"/>
    </row>
    <row r="42" ht="33.75" customHeight="1">
      <c r="B42" s="19"/>
      <c r="C42" s="19"/>
      <c r="D42" s="19"/>
      <c r="E42" s="19"/>
      <c r="F42" s="22"/>
      <c r="G42" s="19"/>
      <c r="H42" s="22"/>
      <c r="I42" s="22"/>
    </row>
    <row r="43" ht="33.75" customHeight="1">
      <c r="B43" s="19"/>
      <c r="C43" s="19"/>
      <c r="D43" s="19"/>
      <c r="E43" s="19"/>
      <c r="F43" s="22"/>
      <c r="G43" s="19"/>
      <c r="H43" s="22"/>
      <c r="I43" s="22"/>
    </row>
    <row r="44" ht="33.75" customHeight="1">
      <c r="B44" s="19"/>
      <c r="C44" s="19"/>
      <c r="D44" s="19"/>
      <c r="E44" s="19"/>
      <c r="F44" s="22"/>
      <c r="G44" s="19"/>
      <c r="H44" s="22"/>
      <c r="I44" s="22"/>
    </row>
    <row r="45" ht="33.75" customHeight="1">
      <c r="B45" s="19"/>
      <c r="C45" s="19"/>
      <c r="D45" s="19"/>
      <c r="E45" s="19"/>
      <c r="F45" s="22"/>
      <c r="G45" s="19"/>
      <c r="H45" s="22"/>
      <c r="I45" s="22"/>
    </row>
    <row r="46" ht="33.75" customHeight="1">
      <c r="B46" s="19"/>
      <c r="C46" s="19"/>
      <c r="D46" s="19"/>
      <c r="E46" s="19"/>
      <c r="F46" s="22"/>
      <c r="G46" s="19"/>
      <c r="H46" s="22"/>
      <c r="I46" s="22"/>
    </row>
    <row r="47" ht="33.75" customHeight="1">
      <c r="B47" s="19"/>
      <c r="C47" s="19"/>
      <c r="D47" s="19"/>
      <c r="E47" s="19"/>
      <c r="F47" s="22"/>
      <c r="G47" s="19"/>
      <c r="H47" s="22"/>
      <c r="I47" s="22"/>
    </row>
    <row r="48" ht="33.75" customHeight="1">
      <c r="B48" s="19"/>
      <c r="C48" s="19"/>
      <c r="D48" s="19"/>
      <c r="E48" s="19"/>
      <c r="F48" s="22"/>
      <c r="G48" s="19"/>
      <c r="H48" s="22"/>
      <c r="I48" s="22"/>
    </row>
    <row r="49" ht="33.75" customHeight="1">
      <c r="B49" s="19"/>
      <c r="C49" s="19"/>
      <c r="D49" s="19"/>
      <c r="E49" s="19"/>
      <c r="F49" s="22"/>
      <c r="G49" s="19"/>
      <c r="H49" s="22"/>
      <c r="I49" s="22"/>
    </row>
    <row r="50" ht="33.75" customHeight="1">
      <c r="B50" s="19"/>
      <c r="C50" s="19"/>
      <c r="D50" s="19"/>
      <c r="E50" s="19"/>
      <c r="F50" s="22"/>
      <c r="G50" s="19"/>
      <c r="H50" s="22"/>
      <c r="I50" s="22"/>
    </row>
    <row r="51" ht="33.75" customHeight="1">
      <c r="B51" s="19"/>
      <c r="C51" s="19"/>
      <c r="D51" s="19"/>
      <c r="E51" s="19"/>
      <c r="F51" s="22"/>
      <c r="G51" s="19"/>
      <c r="H51" s="22"/>
      <c r="I51" s="22"/>
    </row>
    <row r="52" ht="33.75" customHeight="1">
      <c r="B52" s="19"/>
      <c r="C52" s="19"/>
      <c r="D52" s="19"/>
      <c r="E52" s="19"/>
      <c r="F52" s="22"/>
      <c r="G52" s="19"/>
      <c r="H52" s="22"/>
      <c r="I52" s="22"/>
    </row>
    <row r="53" ht="33.75" customHeight="1">
      <c r="B53" s="19"/>
      <c r="C53" s="19"/>
      <c r="D53" s="19"/>
      <c r="E53" s="19"/>
      <c r="F53" s="22"/>
      <c r="G53" s="19"/>
      <c r="H53" s="22"/>
      <c r="I53" s="22"/>
    </row>
    <row r="54" ht="33.75" customHeight="1">
      <c r="B54" s="19"/>
      <c r="C54" s="19"/>
      <c r="D54" s="19"/>
      <c r="E54" s="19"/>
      <c r="F54" s="22"/>
      <c r="G54" s="19"/>
      <c r="H54" s="22"/>
      <c r="I54" s="22"/>
    </row>
    <row r="55" ht="33.75" customHeight="1">
      <c r="B55" s="19"/>
      <c r="C55" s="19"/>
      <c r="D55" s="19"/>
      <c r="E55" s="19"/>
      <c r="F55" s="22"/>
      <c r="G55" s="19"/>
      <c r="H55" s="22"/>
      <c r="I55" s="22"/>
    </row>
    <row r="56" ht="33.75" customHeight="1">
      <c r="B56" s="19"/>
      <c r="C56" s="19"/>
      <c r="D56" s="19"/>
      <c r="E56" s="19"/>
      <c r="F56" s="22"/>
      <c r="G56" s="19"/>
      <c r="H56" s="22"/>
      <c r="I56" s="22"/>
    </row>
    <row r="57" ht="33.75" customHeight="1">
      <c r="B57" s="19"/>
      <c r="C57" s="19"/>
      <c r="D57" s="19"/>
      <c r="E57" s="19"/>
      <c r="F57" s="22"/>
      <c r="G57" s="19"/>
      <c r="H57" s="22"/>
      <c r="I57" s="22"/>
    </row>
    <row r="58" ht="33.75" customHeight="1">
      <c r="B58" s="19"/>
      <c r="C58" s="19"/>
      <c r="D58" s="19"/>
      <c r="E58" s="19"/>
      <c r="F58" s="22"/>
      <c r="G58" s="19"/>
      <c r="H58" s="22"/>
      <c r="I58" s="22"/>
    </row>
    <row r="59" ht="33.75" customHeight="1">
      <c r="B59" s="19"/>
      <c r="C59" s="19"/>
      <c r="D59" s="19"/>
      <c r="E59" s="19"/>
      <c r="F59" s="22"/>
      <c r="G59" s="19"/>
      <c r="H59" s="22"/>
      <c r="I59" s="22"/>
    </row>
    <row r="60" ht="33.75" customHeight="1">
      <c r="B60" s="19"/>
      <c r="C60" s="19"/>
      <c r="D60" s="19"/>
      <c r="E60" s="19"/>
      <c r="F60" s="22"/>
      <c r="G60" s="19"/>
      <c r="H60" s="22"/>
      <c r="I60" s="22"/>
    </row>
    <row r="61" ht="33.75" customHeight="1">
      <c r="B61" s="19"/>
      <c r="C61" s="19"/>
      <c r="D61" s="19"/>
      <c r="E61" s="19"/>
      <c r="F61" s="22"/>
      <c r="G61" s="19"/>
      <c r="H61" s="22"/>
      <c r="I61" s="22"/>
    </row>
    <row r="62" ht="33.75" customHeight="1">
      <c r="B62" s="19"/>
      <c r="C62" s="19"/>
      <c r="D62" s="19"/>
      <c r="E62" s="19"/>
      <c r="F62" s="22"/>
      <c r="G62" s="19"/>
      <c r="H62" s="22"/>
      <c r="I62" s="22"/>
    </row>
    <row r="63" ht="33.75" customHeight="1">
      <c r="B63" s="19"/>
      <c r="C63" s="19"/>
      <c r="D63" s="19"/>
      <c r="E63" s="19"/>
      <c r="F63" s="22"/>
      <c r="G63" s="19"/>
      <c r="H63" s="22"/>
      <c r="I63" s="22"/>
    </row>
    <row r="64" ht="33.75" customHeight="1">
      <c r="B64" s="19"/>
      <c r="C64" s="19"/>
      <c r="D64" s="19"/>
      <c r="E64" s="19"/>
      <c r="F64" s="22"/>
      <c r="G64" s="19"/>
      <c r="H64" s="22"/>
      <c r="I64" s="22"/>
    </row>
    <row r="65" ht="33.75" customHeight="1">
      <c r="B65" s="19"/>
      <c r="C65" s="19"/>
      <c r="D65" s="19"/>
      <c r="E65" s="19"/>
      <c r="F65" s="22"/>
      <c r="G65" s="19"/>
      <c r="H65" s="22"/>
      <c r="I65" s="22"/>
    </row>
    <row r="66" ht="33.75" customHeight="1">
      <c r="B66" s="19"/>
      <c r="C66" s="19"/>
      <c r="D66" s="19"/>
      <c r="E66" s="19"/>
      <c r="F66" s="22"/>
      <c r="G66" s="19"/>
      <c r="H66" s="22"/>
      <c r="I66" s="22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B3:I3"/>
    <mergeCell ref="B4:I4"/>
  </mergeCells>
  <dataValidations>
    <dataValidation type="list" allowBlank="1" showErrorMessage="1" sqref="I8:I66">
      <formula1>"Yes,No,Not sure"</formula1>
    </dataValidation>
    <dataValidation type="list" allowBlank="1" sqref="F8:F66">
      <formula1>"Right first time,Needed a fix,Went wrong"</formula1>
    </dataValidation>
    <dataValidation type="list" allowBlank="1" showErrorMessage="1" sqref="H8:H66">
      <formula1>"Yes,No"</formula1>
    </dataValidation>
    <dataValidation type="list" allowBlank="1" sqref="B8:B66">
      <formula1>Tasks!$C$8:$C$37</formula1>
    </dataValidation>
    <dataValidation allowBlank="1" showDropDown="1" sqref="C8:E66 G8:G66"/>
  </dataValidations>
  <hyperlinks>
    <hyperlink display="← Start here" location="'Start here'!A1" ref="B1"/>
  </hyperlink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766E"/>
    <pageSetUpPr fitToPage="1"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0"/>
    <col customWidth="1" min="3" max="3" width="38.0"/>
    <col customWidth="1" min="4" max="4" width="34.0"/>
    <col customWidth="1" min="5" max="5" width="26.0"/>
    <col customWidth="1" min="6" max="6" width="21.29"/>
    <col customWidth="1" min="7" max="7" width="30.0"/>
  </cols>
  <sheetData>
    <row r="1">
      <c r="B1" s="11" t="s">
        <v>15</v>
      </c>
    </row>
    <row r="2" ht="30.0" customHeight="1">
      <c r="B2" s="1" t="s">
        <v>69</v>
      </c>
    </row>
    <row r="3" ht="33.75" customHeight="1">
      <c r="B3" s="2" t="s">
        <v>70</v>
      </c>
    </row>
    <row r="7" ht="43.5" customHeight="1">
      <c r="B7" s="14" t="s">
        <v>71</v>
      </c>
      <c r="C7" s="14" t="s">
        <v>72</v>
      </c>
      <c r="D7" s="14" t="s">
        <v>73</v>
      </c>
      <c r="E7" s="14" t="s">
        <v>74</v>
      </c>
      <c r="F7" s="14" t="s">
        <v>75</v>
      </c>
      <c r="G7" s="14" t="s">
        <v>76</v>
      </c>
    </row>
    <row r="8" ht="30.0" customHeight="1">
      <c r="B8" s="20"/>
      <c r="C8" s="20"/>
      <c r="D8" s="20"/>
      <c r="E8" s="22"/>
      <c r="F8" s="22"/>
      <c r="G8" s="19"/>
    </row>
    <row r="9" ht="30.0" customHeight="1">
      <c r="B9" s="19"/>
      <c r="C9" s="19"/>
      <c r="D9" s="19"/>
      <c r="E9" s="22"/>
      <c r="F9" s="22"/>
      <c r="G9" s="19"/>
    </row>
    <row r="10" ht="30.0" customHeight="1">
      <c r="B10" s="19"/>
      <c r="C10" s="19"/>
      <c r="D10" s="19"/>
      <c r="E10" s="22"/>
      <c r="F10" s="22"/>
      <c r="G10" s="19"/>
    </row>
    <row r="11" ht="30.0" customHeight="1">
      <c r="B11" s="19"/>
      <c r="C11" s="19"/>
      <c r="D11" s="19"/>
      <c r="E11" s="22"/>
      <c r="F11" s="22"/>
      <c r="G11" s="19"/>
    </row>
    <row r="12" ht="30.0" customHeight="1">
      <c r="B12" s="19"/>
      <c r="C12" s="19"/>
      <c r="D12" s="19"/>
      <c r="E12" s="22"/>
      <c r="F12" s="22"/>
      <c r="G12" s="19"/>
    </row>
    <row r="13" ht="30.0" customHeight="1">
      <c r="B13" s="19"/>
      <c r="C13" s="19"/>
      <c r="D13" s="19"/>
      <c r="E13" s="22"/>
      <c r="F13" s="22"/>
      <c r="G13" s="19"/>
    </row>
    <row r="14" ht="30.0" customHeight="1">
      <c r="B14" s="19"/>
      <c r="C14" s="19"/>
      <c r="D14" s="19"/>
      <c r="E14" s="22"/>
      <c r="F14" s="22"/>
      <c r="G14" s="19"/>
    </row>
    <row r="15" ht="30.0" customHeight="1">
      <c r="B15" s="19"/>
      <c r="C15" s="19"/>
      <c r="D15" s="19"/>
      <c r="E15" s="22"/>
      <c r="F15" s="22"/>
      <c r="G15" s="19"/>
    </row>
    <row r="16" ht="30.0" customHeight="1">
      <c r="B16" s="19"/>
      <c r="C16" s="19"/>
      <c r="D16" s="19"/>
      <c r="E16" s="22"/>
      <c r="F16" s="22"/>
      <c r="G16" s="19"/>
    </row>
    <row r="17" ht="30.0" customHeight="1">
      <c r="B17" s="19"/>
      <c r="C17" s="19"/>
      <c r="D17" s="19"/>
      <c r="E17" s="22"/>
      <c r="F17" s="22"/>
      <c r="G17" s="19"/>
    </row>
    <row r="18" ht="30.0" customHeight="1">
      <c r="B18" s="19"/>
      <c r="C18" s="19"/>
      <c r="D18" s="19"/>
      <c r="E18" s="22"/>
      <c r="F18" s="22"/>
      <c r="G18" s="19"/>
    </row>
    <row r="19" ht="30.0" customHeight="1">
      <c r="B19" s="19"/>
      <c r="C19" s="19"/>
      <c r="D19" s="19"/>
      <c r="E19" s="22"/>
      <c r="F19" s="22"/>
      <c r="G19" s="19"/>
    </row>
    <row r="20" ht="30.0" customHeight="1">
      <c r="B20" s="19"/>
      <c r="C20" s="19"/>
      <c r="D20" s="19"/>
      <c r="E20" s="22"/>
      <c r="F20" s="22"/>
      <c r="G20" s="19"/>
    </row>
    <row r="21" ht="30.0" customHeight="1">
      <c r="B21" s="19"/>
      <c r="C21" s="19"/>
      <c r="D21" s="19"/>
      <c r="E21" s="22"/>
      <c r="F21" s="22"/>
      <c r="G21" s="19"/>
    </row>
    <row r="22" ht="30.0" customHeight="1">
      <c r="B22" s="19"/>
      <c r="C22" s="19"/>
      <c r="D22" s="19"/>
      <c r="E22" s="22"/>
      <c r="F22" s="22"/>
      <c r="G22" s="19"/>
    </row>
    <row r="23" ht="30.0" customHeight="1">
      <c r="B23" s="19"/>
      <c r="C23" s="19"/>
      <c r="D23" s="19"/>
      <c r="E23" s="22"/>
      <c r="F23" s="22"/>
      <c r="G23" s="19"/>
    </row>
    <row r="24" ht="30.0" customHeight="1">
      <c r="B24" s="19"/>
      <c r="C24" s="19"/>
      <c r="D24" s="19"/>
      <c r="E24" s="22"/>
      <c r="F24" s="22"/>
      <c r="G24" s="19"/>
    </row>
    <row r="25" ht="30.0" customHeight="1">
      <c r="B25" s="19"/>
      <c r="C25" s="19"/>
      <c r="D25" s="19"/>
      <c r="E25" s="22"/>
      <c r="F25" s="22"/>
      <c r="G25" s="19"/>
    </row>
    <row r="26" ht="30.0" customHeight="1">
      <c r="B26" s="19"/>
      <c r="C26" s="19"/>
      <c r="D26" s="19"/>
      <c r="E26" s="22"/>
      <c r="F26" s="22"/>
      <c r="G26" s="1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B3:G3"/>
    <mergeCell ref="B4:G4"/>
  </mergeCells>
  <dataValidations>
    <dataValidation type="list" allowBlank="1" showErrorMessage="1" sqref="F8:F26">
      <formula1>"Yes,No,Not sure"</formula1>
    </dataValidation>
    <dataValidation type="list" allowBlank="1" sqref="E8:E26">
      <formula1>"None,Personal data,Confidential business info,Both"</formula1>
    </dataValidation>
    <dataValidation type="list" allowBlank="1" sqref="D8:D26">
      <formula1>Tasks!$C$8:$C$37</formula1>
    </dataValidation>
    <dataValidation allowBlank="1" showDropDown="1" sqref="B8:C26 G8:G26"/>
  </dataValidations>
  <hyperlinks>
    <hyperlink display="← Start here" location="'Start here'!A1" ref="B1"/>
  </hyperlink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766E"/>
    <pageSetUpPr fitToPage="1"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46.0"/>
    <col customWidth="1" min="3" max="3" width="38.57"/>
    <col customWidth="1" min="4" max="4" width="46.0"/>
    <col customWidth="1" min="5" max="5" width="26.0"/>
  </cols>
  <sheetData>
    <row r="1">
      <c r="B1" s="11" t="s">
        <v>15</v>
      </c>
    </row>
    <row r="2" ht="30.0" customHeight="1">
      <c r="B2" s="1" t="s">
        <v>77</v>
      </c>
    </row>
    <row r="3" ht="33.75" customHeight="1">
      <c r="B3" s="2" t="s">
        <v>78</v>
      </c>
    </row>
    <row r="7" ht="43.5" customHeight="1">
      <c r="B7" s="14" t="s">
        <v>79</v>
      </c>
      <c r="C7" s="14" t="s">
        <v>26</v>
      </c>
      <c r="D7" s="14" t="s">
        <v>80</v>
      </c>
      <c r="E7" s="14" t="s">
        <v>81</v>
      </c>
    </row>
    <row r="8" ht="43.5" customHeight="1">
      <c r="B8" s="20"/>
      <c r="C8" s="27"/>
      <c r="D8" s="20"/>
      <c r="E8" s="22"/>
    </row>
    <row r="9" ht="43.5" customHeight="1">
      <c r="B9" s="20"/>
      <c r="C9" s="28"/>
      <c r="D9" s="19"/>
      <c r="E9" s="22"/>
    </row>
    <row r="10" ht="43.5" customHeight="1">
      <c r="B10" s="19"/>
      <c r="C10" s="28"/>
      <c r="D10" s="19"/>
      <c r="E10" s="22"/>
    </row>
    <row r="11" ht="43.5" customHeight="1">
      <c r="B11" s="19"/>
      <c r="C11" s="28"/>
      <c r="D11" s="19"/>
      <c r="E11" s="22"/>
    </row>
    <row r="12" ht="43.5" customHeight="1">
      <c r="B12" s="19"/>
      <c r="C12" s="28"/>
      <c r="D12" s="19"/>
      <c r="E12" s="22"/>
    </row>
    <row r="13" ht="43.5" customHeight="1">
      <c r="B13" s="19"/>
      <c r="C13" s="28"/>
      <c r="D13" s="19"/>
      <c r="E13" s="22"/>
    </row>
    <row r="14" ht="43.5" customHeight="1">
      <c r="B14" s="19"/>
      <c r="C14" s="28"/>
      <c r="D14" s="19"/>
      <c r="E14" s="22"/>
    </row>
    <row r="15" ht="43.5" customHeight="1">
      <c r="B15" s="19"/>
      <c r="C15" s="28"/>
      <c r="D15" s="19"/>
      <c r="E15" s="22"/>
    </row>
    <row r="16" ht="43.5" customHeight="1">
      <c r="B16" s="19"/>
      <c r="C16" s="28"/>
      <c r="D16" s="19"/>
      <c r="E16" s="22"/>
    </row>
    <row r="17" ht="43.5" customHeight="1">
      <c r="B17" s="19"/>
      <c r="C17" s="28"/>
      <c r="D17" s="19"/>
      <c r="E17" s="22"/>
    </row>
    <row r="18" ht="43.5" customHeight="1">
      <c r="B18" s="19"/>
      <c r="C18" s="28"/>
      <c r="D18" s="19"/>
      <c r="E18" s="22"/>
    </row>
    <row r="19" ht="43.5" customHeight="1">
      <c r="B19" s="19"/>
      <c r="C19" s="28"/>
      <c r="D19" s="19"/>
      <c r="E19" s="22"/>
    </row>
    <row r="20" ht="43.5" customHeight="1">
      <c r="B20" s="19"/>
      <c r="C20" s="28"/>
      <c r="D20" s="19"/>
      <c r="E20" s="22"/>
    </row>
    <row r="21" ht="43.5" customHeight="1">
      <c r="B21" s="19"/>
      <c r="C21" s="28"/>
      <c r="D21" s="19"/>
      <c r="E21" s="22"/>
    </row>
    <row r="22" ht="43.5" customHeight="1">
      <c r="B22" s="19"/>
      <c r="C22" s="28"/>
      <c r="D22" s="19"/>
      <c r="E22" s="22"/>
    </row>
    <row r="23" ht="43.5" customHeight="1">
      <c r="B23" s="19"/>
      <c r="C23" s="28"/>
      <c r="D23" s="19"/>
      <c r="E23" s="22"/>
    </row>
    <row r="24" ht="43.5" customHeight="1">
      <c r="B24" s="19"/>
      <c r="C24" s="28"/>
      <c r="D24" s="19"/>
      <c r="E24" s="22"/>
    </row>
    <row r="25" ht="43.5" customHeight="1">
      <c r="B25" s="19"/>
      <c r="C25" s="28"/>
      <c r="D25" s="19"/>
      <c r="E25" s="22"/>
    </row>
    <row r="26" ht="43.5" customHeight="1">
      <c r="B26" s="19"/>
      <c r="C26" s="28"/>
      <c r="D26" s="19"/>
      <c r="E26" s="2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B3:E3"/>
    <mergeCell ref="B4:E4"/>
  </mergeCells>
  <dataValidations>
    <dataValidation type="list" allowBlank="1" sqref="C8:C26">
      <formula1>#REF!</formula1>
    </dataValidation>
    <dataValidation type="list" allowBlank="1" showErrorMessage="1" sqref="E8:E26">
      <formula1>"Never automate this,A person must approve,Just a worry"</formula1>
    </dataValidation>
    <dataValidation allowBlank="1" showDropDown="1" sqref="B8:B26 D8:D26"/>
  </dataValidations>
  <hyperlinks>
    <hyperlink display="← Start here" location="'Start here'!A1" ref="B1"/>
  </hyperlink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766E"/>
    <pageSetUpPr fitToPage="1"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50.0"/>
    <col customWidth="1" min="3" max="3" width="21.43"/>
    <col customWidth="1" min="4" max="4" width="22.14"/>
    <col customWidth="1" min="5" max="5" width="14.0"/>
    <col customWidth="1" min="6" max="6" width="16.0"/>
    <col customWidth="1" min="7" max="7" width="36.0"/>
  </cols>
  <sheetData>
    <row r="1">
      <c r="B1" s="11" t="s">
        <v>15</v>
      </c>
    </row>
    <row r="2" ht="30.0" customHeight="1">
      <c r="B2" s="1" t="s">
        <v>82</v>
      </c>
    </row>
    <row r="3" ht="33.75" customHeight="1">
      <c r="B3" s="2" t="s">
        <v>83</v>
      </c>
    </row>
    <row r="7" ht="43.5" customHeight="1">
      <c r="B7" s="14" t="s">
        <v>84</v>
      </c>
      <c r="C7" s="14" t="s">
        <v>85</v>
      </c>
      <c r="D7" s="14" t="s">
        <v>86</v>
      </c>
      <c r="E7" s="14" t="s">
        <v>87</v>
      </c>
      <c r="F7" s="14" t="s">
        <v>88</v>
      </c>
      <c r="G7" s="14" t="s">
        <v>89</v>
      </c>
    </row>
    <row r="8" ht="30.0" customHeight="1">
      <c r="B8" s="20" t="s">
        <v>90</v>
      </c>
      <c r="C8" s="29" t="s">
        <v>19</v>
      </c>
      <c r="D8" s="19"/>
      <c r="E8" s="30"/>
      <c r="F8" s="29" t="s">
        <v>94</v>
      </c>
      <c r="G8" s="19"/>
    </row>
    <row r="9" ht="30.0" customHeight="1">
      <c r="B9" s="20" t="s">
        <v>122</v>
      </c>
      <c r="C9" s="29" t="s">
        <v>77</v>
      </c>
      <c r="D9" s="19"/>
      <c r="E9" s="30"/>
      <c r="F9" s="29" t="s">
        <v>94</v>
      </c>
      <c r="G9" s="19"/>
    </row>
    <row r="10" ht="30.0" customHeight="1">
      <c r="B10" s="20" t="s">
        <v>123</v>
      </c>
      <c r="C10" s="29" t="s">
        <v>124</v>
      </c>
      <c r="D10" s="19"/>
      <c r="E10" s="30"/>
      <c r="F10" s="29" t="s">
        <v>94</v>
      </c>
      <c r="G10" s="19"/>
    </row>
    <row r="11" ht="30.0" customHeight="1">
      <c r="B11" s="20" t="s">
        <v>125</v>
      </c>
      <c r="C11" s="29" t="s">
        <v>124</v>
      </c>
      <c r="D11" s="19"/>
      <c r="E11" s="30"/>
      <c r="F11" s="29" t="s">
        <v>94</v>
      </c>
      <c r="G11" s="19"/>
    </row>
    <row r="12" ht="30.0" customHeight="1">
      <c r="B12" s="19"/>
      <c r="C12" s="29"/>
      <c r="D12" s="19"/>
      <c r="E12" s="30"/>
      <c r="F12" s="29"/>
      <c r="G12" s="19"/>
    </row>
    <row r="13" ht="30.0" customHeight="1">
      <c r="B13" s="19"/>
      <c r="C13" s="29"/>
      <c r="D13" s="19"/>
      <c r="E13" s="30"/>
      <c r="F13" s="29"/>
      <c r="G13" s="19"/>
    </row>
    <row r="14" ht="30.0" customHeight="1">
      <c r="B14" s="19"/>
      <c r="C14" s="29"/>
      <c r="D14" s="19"/>
      <c r="E14" s="30"/>
      <c r="F14" s="29"/>
      <c r="G14" s="19"/>
    </row>
    <row r="15" ht="30.0" customHeight="1">
      <c r="B15" s="19"/>
      <c r="C15" s="29"/>
      <c r="D15" s="19"/>
      <c r="E15" s="30"/>
      <c r="F15" s="29"/>
      <c r="G15" s="19"/>
    </row>
    <row r="16" ht="30.0" customHeight="1">
      <c r="B16" s="19"/>
      <c r="C16" s="29"/>
      <c r="D16" s="19"/>
      <c r="E16" s="30"/>
      <c r="F16" s="29"/>
      <c r="G16" s="19"/>
    </row>
    <row r="17" ht="30.0" customHeight="1">
      <c r="B17" s="19"/>
      <c r="C17" s="29"/>
      <c r="D17" s="19"/>
      <c r="E17" s="30"/>
      <c r="F17" s="29"/>
      <c r="G17" s="19"/>
    </row>
    <row r="18" ht="30.0" customHeight="1">
      <c r="B18" s="19"/>
      <c r="C18" s="29"/>
      <c r="D18" s="19"/>
      <c r="E18" s="30"/>
      <c r="F18" s="29"/>
      <c r="G18" s="19"/>
    </row>
    <row r="19" ht="30.0" customHeight="1">
      <c r="B19" s="19"/>
      <c r="C19" s="29"/>
      <c r="D19" s="19"/>
      <c r="E19" s="30"/>
      <c r="F19" s="29"/>
      <c r="G19" s="19"/>
    </row>
    <row r="20" ht="30.0" customHeight="1">
      <c r="B20" s="19"/>
      <c r="C20" s="29"/>
      <c r="D20" s="19"/>
      <c r="E20" s="30"/>
      <c r="F20" s="29"/>
      <c r="G20" s="19"/>
    </row>
    <row r="21" ht="30.0" customHeight="1">
      <c r="B21" s="19"/>
      <c r="C21" s="29"/>
      <c r="D21" s="19"/>
      <c r="E21" s="30"/>
      <c r="F21" s="29"/>
      <c r="G21" s="19"/>
    </row>
    <row r="22" ht="30.0" customHeight="1">
      <c r="B22" s="19"/>
      <c r="C22" s="29"/>
      <c r="D22" s="19"/>
      <c r="E22" s="30"/>
      <c r="F22" s="29"/>
      <c r="G22" s="19"/>
    </row>
    <row r="23" ht="30.0" customHeight="1">
      <c r="B23" s="19"/>
      <c r="C23" s="29"/>
      <c r="D23" s="19"/>
      <c r="E23" s="30"/>
      <c r="F23" s="29"/>
      <c r="G23" s="19"/>
    </row>
    <row r="24" ht="30.0" customHeight="1">
      <c r="B24" s="19"/>
      <c r="C24" s="29"/>
      <c r="D24" s="19"/>
      <c r="E24" s="30"/>
      <c r="F24" s="29"/>
      <c r="G24" s="19"/>
    </row>
    <row r="25" ht="30.0" customHeight="1">
      <c r="B25" s="19"/>
      <c r="C25" s="29"/>
      <c r="D25" s="19"/>
      <c r="E25" s="30"/>
      <c r="F25" s="29"/>
      <c r="G25" s="19"/>
    </row>
    <row r="26" ht="30.0" customHeight="1">
      <c r="B26" s="19"/>
      <c r="C26" s="29"/>
      <c r="D26" s="19"/>
      <c r="E26" s="30"/>
      <c r="F26" s="29"/>
      <c r="G26" s="19"/>
    </row>
    <row r="27" ht="30.0" customHeight="1">
      <c r="B27" s="19"/>
      <c r="C27" s="29"/>
      <c r="D27" s="19"/>
      <c r="E27" s="30"/>
      <c r="F27" s="29"/>
      <c r="G27" s="19"/>
    </row>
    <row r="28" ht="30.0" customHeight="1">
      <c r="B28" s="19"/>
      <c r="C28" s="29"/>
      <c r="D28" s="19"/>
      <c r="E28" s="30"/>
      <c r="F28" s="29"/>
      <c r="G28" s="19"/>
    </row>
    <row r="29" ht="30.0" customHeight="1">
      <c r="B29" s="19"/>
      <c r="C29" s="29"/>
      <c r="D29" s="19"/>
      <c r="E29" s="30"/>
      <c r="F29" s="29"/>
      <c r="G29" s="19"/>
    </row>
    <row r="30" ht="30.0" customHeight="1">
      <c r="B30" s="19"/>
      <c r="C30" s="29"/>
      <c r="D30" s="19"/>
      <c r="E30" s="30"/>
      <c r="F30" s="29"/>
      <c r="G30" s="19"/>
    </row>
    <row r="31" ht="30.0" customHeight="1">
      <c r="B31" s="19"/>
      <c r="C31" s="29"/>
      <c r="D31" s="19"/>
      <c r="E31" s="30"/>
      <c r="F31" s="29"/>
      <c r="G31" s="19"/>
    </row>
    <row r="32" ht="30.0" customHeight="1">
      <c r="B32" s="19"/>
      <c r="C32" s="29"/>
      <c r="D32" s="19"/>
      <c r="E32" s="30"/>
      <c r="F32" s="29"/>
      <c r="G32" s="19"/>
    </row>
    <row r="33" ht="30.0" customHeight="1">
      <c r="B33" s="19"/>
      <c r="C33" s="29"/>
      <c r="D33" s="19"/>
      <c r="E33" s="30"/>
      <c r="F33" s="29"/>
      <c r="G33" s="19"/>
    </row>
    <row r="34" ht="30.0" customHeight="1">
      <c r="B34" s="19"/>
      <c r="C34" s="29"/>
      <c r="D34" s="19"/>
      <c r="E34" s="30"/>
      <c r="F34" s="29"/>
      <c r="G34" s="19"/>
    </row>
    <row r="35" ht="30.0" customHeight="1">
      <c r="B35" s="19"/>
      <c r="C35" s="29"/>
      <c r="D35" s="19"/>
      <c r="E35" s="30"/>
      <c r="F35" s="29"/>
      <c r="G35" s="19"/>
    </row>
    <row r="36" ht="30.0" customHeight="1">
      <c r="B36" s="19"/>
      <c r="C36" s="29"/>
      <c r="D36" s="19"/>
      <c r="E36" s="30"/>
      <c r="F36" s="29"/>
      <c r="G36" s="19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B3:G3"/>
    <mergeCell ref="B4:G4"/>
  </mergeCells>
  <conditionalFormatting sqref="F8:F36">
    <cfRule type="cellIs" dxfId="7" priority="1" stopIfTrue="1" operator="equal">
      <formula>"Done"</formula>
    </cfRule>
  </conditionalFormatting>
  <conditionalFormatting sqref="F8:F36">
    <cfRule type="cellIs" dxfId="8" priority="2" stopIfTrue="1" operator="equal">
      <formula>"In progress"</formula>
    </cfRule>
  </conditionalFormatting>
  <conditionalFormatting sqref="F8:F36">
    <cfRule type="cellIs" dxfId="9" priority="3" stopIfTrue="1" operator="equal">
      <formula>"Blocked"</formula>
    </cfRule>
  </conditionalFormatting>
  <conditionalFormatting sqref="E8:E36">
    <cfRule type="expression" dxfId="10" priority="4">
      <formula>AND(E8&lt;&gt;"",E8&lt;TODAY(),F8&lt;&gt;"Done")</formula>
    </cfRule>
  </conditionalFormatting>
  <dataValidations>
    <dataValidation type="list" allowBlank="1" sqref="C8:C36">
      <formula1>"Tasks,How you decide,Examples,Tools and data,Worries,Other"</formula1>
    </dataValidation>
    <dataValidation type="custom" allowBlank="1" showDropDown="1" sqref="E8:E36">
      <formula1>OR(NOT(ISERROR(DATEVALUE(E8))), AND(ISNUMBER(E8), LEFT(CELL("format", E8))="D"))</formula1>
    </dataValidation>
    <dataValidation allowBlank="1" showDropDown="1" sqref="B8:B36 D8:D36 G8:G36"/>
    <dataValidation type="list" allowBlank="1" sqref="F8:F36">
      <formula1>"Not started,In progress,Blocked,Done"</formula1>
    </dataValidation>
  </dataValidations>
  <hyperlinks>
    <hyperlink display="← Start here" location="'Start here'!A1" ref="B1"/>
  </hyperlink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AA5B1"/>
    <pageSetUpPr fitToPage="1"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6.0"/>
    <col customWidth="1" min="3" max="3" width="34.0"/>
    <col customWidth="1" min="4" max="4" width="54.0"/>
  </cols>
  <sheetData>
    <row r="1">
      <c r="B1" s="11" t="s">
        <v>15</v>
      </c>
    </row>
    <row r="2" ht="30.0" customHeight="1">
      <c r="B2" s="1" t="s">
        <v>91</v>
      </c>
    </row>
    <row r="3" ht="33.75" customHeight="1">
      <c r="B3" s="2" t="s">
        <v>92</v>
      </c>
    </row>
    <row r="5" ht="43.5" customHeight="1">
      <c r="B5" s="31" t="s">
        <v>93</v>
      </c>
      <c r="C5" s="31" t="s">
        <v>95</v>
      </c>
      <c r="D5" s="31" t="s">
        <v>96</v>
      </c>
    </row>
    <row r="6" ht="3.75" customHeight="1">
      <c r="B6" s="32"/>
      <c r="C6" s="32"/>
      <c r="D6" s="32"/>
    </row>
    <row r="7" ht="31.5" customHeight="1">
      <c r="B7" s="33" t="s">
        <v>97</v>
      </c>
      <c r="C7" s="29" t="s">
        <v>98</v>
      </c>
      <c r="D7" s="29" t="s">
        <v>99</v>
      </c>
    </row>
    <row r="8" ht="31.5" customHeight="1">
      <c r="B8" s="33" t="s">
        <v>100</v>
      </c>
      <c r="C8" s="29" t="s">
        <v>101</v>
      </c>
      <c r="D8" s="29" t="s">
        <v>102</v>
      </c>
    </row>
    <row r="9" ht="31.5" customHeight="1">
      <c r="B9" s="33" t="s">
        <v>103</v>
      </c>
      <c r="C9" s="29" t="s">
        <v>104</v>
      </c>
      <c r="D9" s="29" t="s">
        <v>105</v>
      </c>
    </row>
    <row r="10" ht="31.5" customHeight="1">
      <c r="B10" s="33" t="s">
        <v>106</v>
      </c>
      <c r="C10" s="29" t="s">
        <v>107</v>
      </c>
      <c r="D10" s="29" t="s">
        <v>108</v>
      </c>
    </row>
    <row r="11" ht="31.5" customHeight="1">
      <c r="B11" s="33" t="s">
        <v>109</v>
      </c>
      <c r="C11" s="29" t="s">
        <v>110</v>
      </c>
      <c r="D11" s="29" t="s">
        <v>111</v>
      </c>
    </row>
    <row r="12" ht="31.5" customHeight="1">
      <c r="B12" s="33" t="s">
        <v>18</v>
      </c>
      <c r="C12" s="29" t="s">
        <v>112</v>
      </c>
      <c r="D12" s="29" t="s">
        <v>113</v>
      </c>
    </row>
    <row r="13" ht="31.5" customHeight="1">
      <c r="B13" s="33" t="s">
        <v>19</v>
      </c>
      <c r="C13" s="29" t="s">
        <v>114</v>
      </c>
      <c r="D13" s="29" t="s">
        <v>115</v>
      </c>
    </row>
    <row r="14" ht="31.5" customHeight="1">
      <c r="B14" s="33" t="s">
        <v>69</v>
      </c>
      <c r="C14" s="29" t="s">
        <v>116</v>
      </c>
      <c r="D14" s="29" t="s">
        <v>117</v>
      </c>
    </row>
    <row r="15" ht="31.5" customHeight="1">
      <c r="B15" s="33" t="s">
        <v>77</v>
      </c>
      <c r="C15" s="29" t="s">
        <v>118</v>
      </c>
      <c r="D15" s="29" t="s">
        <v>119</v>
      </c>
    </row>
    <row r="16" ht="31.5" customHeight="1">
      <c r="B16" s="33" t="s">
        <v>82</v>
      </c>
      <c r="C16" s="29" t="s">
        <v>120</v>
      </c>
      <c r="D16" s="29" t="s">
        <v>121</v>
      </c>
    </row>
  </sheetData>
  <mergeCells count="2">
    <mergeCell ref="B3:D3"/>
    <mergeCell ref="B4:D4"/>
  </mergeCells>
  <hyperlinks>
    <hyperlink display="← Start here" location="'Start here'!A1" ref="B1"/>
  </hyperlinks>
  <printOptions/>
  <pageMargins bottom="1.0" footer="0.0" header="0.0" left="0.75" right="0.75" top="1.0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AA5B1"/>
    <pageSetUpPr fitToPage="1"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40.0"/>
    <col customWidth="1" min="3" max="3" width="12.0"/>
    <col customWidth="1" min="4" max="5" width="14.0"/>
    <col customWidth="1" min="6" max="7" width="11.0"/>
    <col customWidth="1" min="8" max="8" width="28.0"/>
    <col customWidth="1" min="9" max="9" width="16.0"/>
    <col customWidth="1" min="10" max="21" width="8.71"/>
  </cols>
  <sheetData>
    <row r="1">
      <c r="B1" s="11" t="s">
        <v>15</v>
      </c>
    </row>
    <row r="2" ht="30.0" customHeight="1">
      <c r="B2" s="1" t="s">
        <v>126</v>
      </c>
    </row>
    <row r="3" ht="33.75" customHeight="1">
      <c r="B3" s="2" t="s">
        <v>127</v>
      </c>
    </row>
    <row r="5">
      <c r="B5" s="7" t="s">
        <v>128</v>
      </c>
    </row>
    <row r="6">
      <c r="B6" s="12" t="s">
        <v>129</v>
      </c>
      <c r="C6" s="34">
        <f>COUNTA(Tasks!C8:C37)</f>
        <v>0</v>
      </c>
    </row>
    <row r="7">
      <c r="B7" s="12" t="s">
        <v>130</v>
      </c>
      <c r="C7" s="35">
        <f>SUM(Tasks!H8:H37)</f>
        <v>0</v>
      </c>
    </row>
    <row r="8">
      <c r="B8" s="12" t="s">
        <v>131</v>
      </c>
      <c r="C8" s="35">
        <f>SUMIFS(Tasks!H8:H37,Tasks!M8:M37,"Keep with people")</f>
        <v>0</v>
      </c>
    </row>
    <row r="9">
      <c r="B9" s="12" t="s">
        <v>132</v>
      </c>
      <c r="C9" s="35">
        <f>C7-C8</f>
        <v>0</v>
      </c>
    </row>
    <row r="10">
      <c r="B10" s="12" t="s">
        <v>133</v>
      </c>
      <c r="C10" s="34">
        <f>COUNTIF(Worries!E8:E26,"Never automate this")</f>
        <v>0</v>
      </c>
    </row>
    <row r="11">
      <c r="B11" s="36" t="s">
        <v>134</v>
      </c>
    </row>
    <row r="12">
      <c r="B12" s="7" t="s">
        <v>135</v>
      </c>
    </row>
    <row r="13" ht="43.5" customHeight="1">
      <c r="B13" s="31" t="s">
        <v>136</v>
      </c>
      <c r="C13" s="31" t="s">
        <v>45</v>
      </c>
      <c r="D13" s="31" t="s">
        <v>137</v>
      </c>
      <c r="E13" s="31" t="s">
        <v>138</v>
      </c>
      <c r="F13" s="31" t="s">
        <v>19</v>
      </c>
      <c r="G13" s="31" t="s">
        <v>139</v>
      </c>
      <c r="H13" s="31" t="s">
        <v>140</v>
      </c>
      <c r="I13" s="31" t="s">
        <v>141</v>
      </c>
    </row>
    <row r="14" ht="27.75" customHeight="1">
      <c r="B14" s="32"/>
      <c r="C14" s="32"/>
      <c r="D14" s="32" t="s">
        <v>142</v>
      </c>
      <c r="E14" s="32" t="s">
        <v>143</v>
      </c>
      <c r="F14" s="32" t="s">
        <v>144</v>
      </c>
      <c r="G14" s="32"/>
      <c r="H14" s="32"/>
      <c r="I14" s="32" t="s">
        <v>145</v>
      </c>
    </row>
    <row r="15" ht="18.0" customHeight="1">
      <c r="B15" s="37" t="str">
        <f>IF(Tasks!C8="","",Tasks!C8)</f>
        <v/>
      </c>
      <c r="C15" s="38" t="str">
        <f>IF(B15="","",Tasks!H8)</f>
        <v/>
      </c>
      <c r="D15" s="39" t="str">
        <f>IF(OR(B15="",Tasks!I8=""),"",MATCH(Tasks!I8,Lists!$C$2:$C$4,0))</f>
        <v/>
      </c>
      <c r="E15" s="39" t="str">
        <f>IF(OR(B15="",Tasks!J8=""),"",MATCH(Tasks!J8,Lists!$D$2:$D$4,0))</f>
        <v/>
      </c>
      <c r="F15" s="39" t="str">
        <f>IF(B15="","",COUNTIF(Examples!$B$8:$B$66,B15))</f>
        <v/>
      </c>
      <c r="G15" s="39" t="str">
        <f>IF(B15="","",IF(COUNTIFS('How you decide'!$B$8:$B$37,B15,'How you decide'!$C$8:$C$37,"?*")&gt;0,"Yes","No"))</f>
        <v/>
      </c>
      <c r="H15" s="40" t="str">
        <f>IF(B15="","",IF(Tasks!M8="","",Tasks!M8))</f>
        <v/>
      </c>
      <c r="I15" s="39" t="str">
        <f t="shared" ref="I15:I44" si="1">IF(OR(B15="",C15="",D15="",E15=""),"",IF(H15="Keep with people","Kept",ROUND(C15*(4-D15)*(4-E15),1)))</f>
        <v/>
      </c>
    </row>
    <row r="16" ht="18.0" customHeight="1">
      <c r="B16" s="37" t="str">
        <f>IF(Tasks!C9="","",Tasks!C9)</f>
        <v/>
      </c>
      <c r="C16" s="38" t="str">
        <f>IF(B16="","",Tasks!H9)</f>
        <v/>
      </c>
      <c r="D16" s="39" t="str">
        <f>IF(OR(B16="",Tasks!I9=""),"",MATCH(Tasks!I9,Lists!$C$2:$C$4,0))</f>
        <v/>
      </c>
      <c r="E16" s="39" t="str">
        <f>IF(OR(B16="",Tasks!J9=""),"",MATCH(Tasks!J9,Lists!$D$2:$D$4,0))</f>
        <v/>
      </c>
      <c r="F16" s="39" t="str">
        <f>IF(B16="","",COUNTIF(Examples!$B$8:$B$66,B16))</f>
        <v/>
      </c>
      <c r="G16" s="39" t="str">
        <f>IF(B16="","",IF(COUNTIFS('How you decide'!$B$8:$B$37,B16,'How you decide'!$C$8:$C$37,"?*")&gt;0,"Yes","No"))</f>
        <v/>
      </c>
      <c r="H16" s="40" t="str">
        <f>IF(B16="","",IF(Tasks!M9="","",Tasks!M9))</f>
        <v/>
      </c>
      <c r="I16" s="39" t="str">
        <f t="shared" si="1"/>
        <v/>
      </c>
    </row>
    <row r="17" ht="18.0" customHeight="1">
      <c r="B17" s="37" t="str">
        <f>IF(Tasks!C10="","",Tasks!C10)</f>
        <v/>
      </c>
      <c r="C17" s="38" t="str">
        <f>IF(B17="","",Tasks!H10)</f>
        <v/>
      </c>
      <c r="D17" s="39" t="str">
        <f>IF(OR(B17="",Tasks!I10=""),"",MATCH(Tasks!I10,Lists!$C$2:$C$4,0))</f>
        <v/>
      </c>
      <c r="E17" s="39" t="str">
        <f>IF(OR(B17="",Tasks!J10=""),"",MATCH(Tasks!J10,Lists!$D$2:$D$4,0))</f>
        <v/>
      </c>
      <c r="F17" s="39" t="str">
        <f>IF(B17="","",COUNTIF(Examples!$B$8:$B$66,B17))</f>
        <v/>
      </c>
      <c r="G17" s="39" t="str">
        <f>IF(B17="","",IF(COUNTIFS('How you decide'!$B$8:$B$37,B17,'How you decide'!$C$8:$C$37,"?*")&gt;0,"Yes","No"))</f>
        <v/>
      </c>
      <c r="H17" s="40" t="str">
        <f>IF(B17="","",IF(Tasks!M10="","",Tasks!M10))</f>
        <v/>
      </c>
      <c r="I17" s="39" t="str">
        <f t="shared" si="1"/>
        <v/>
      </c>
    </row>
    <row r="18" ht="18.0" customHeight="1">
      <c r="B18" s="37" t="str">
        <f>IF(Tasks!C11="","",Tasks!C11)</f>
        <v/>
      </c>
      <c r="C18" s="38" t="str">
        <f>IF(B18="","",Tasks!H11)</f>
        <v/>
      </c>
      <c r="D18" s="39" t="str">
        <f>IF(OR(B18="",Tasks!I11=""),"",MATCH(Tasks!I11,Lists!$C$2:$C$4,0))</f>
        <v/>
      </c>
      <c r="E18" s="39" t="str">
        <f>IF(OR(B18="",Tasks!J11=""),"",MATCH(Tasks!J11,Lists!$D$2:$D$4,0))</f>
        <v/>
      </c>
      <c r="F18" s="39" t="str">
        <f>IF(B18="","",COUNTIF(Examples!$B$8:$B$66,B18))</f>
        <v/>
      </c>
      <c r="G18" s="39" t="str">
        <f>IF(B18="","",IF(COUNTIFS('How you decide'!$B$8:$B$37,B18,'How you decide'!$C$8:$C$37,"?*")&gt;0,"Yes","No"))</f>
        <v/>
      </c>
      <c r="H18" s="40" t="str">
        <f>IF(B18="","",IF(Tasks!M11="","",Tasks!M11))</f>
        <v/>
      </c>
      <c r="I18" s="39" t="str">
        <f t="shared" si="1"/>
        <v/>
      </c>
    </row>
    <row r="19" ht="18.0" customHeight="1">
      <c r="B19" s="37" t="str">
        <f>IF(Tasks!C12="","",Tasks!C12)</f>
        <v/>
      </c>
      <c r="C19" s="38" t="str">
        <f>IF(B19="","",Tasks!H12)</f>
        <v/>
      </c>
      <c r="D19" s="39" t="str">
        <f>IF(OR(B19="",Tasks!I12=""),"",MATCH(Tasks!I12,Lists!$C$2:$C$4,0))</f>
        <v/>
      </c>
      <c r="E19" s="39" t="str">
        <f>IF(OR(B19="",Tasks!J12=""),"",MATCH(Tasks!J12,Lists!$D$2:$D$4,0))</f>
        <v/>
      </c>
      <c r="F19" s="39" t="str">
        <f>IF(B19="","",COUNTIF(Examples!$B$8:$B$66,B19))</f>
        <v/>
      </c>
      <c r="G19" s="39" t="str">
        <f>IF(B19="","",IF(COUNTIFS('How you decide'!$B$8:$B$37,B19,'How you decide'!$C$8:$C$37,"?*")&gt;0,"Yes","No"))</f>
        <v/>
      </c>
      <c r="H19" s="40" t="str">
        <f>IF(B19="","",IF(Tasks!M12="","",Tasks!M12))</f>
        <v/>
      </c>
      <c r="I19" s="39" t="str">
        <f t="shared" si="1"/>
        <v/>
      </c>
    </row>
    <row r="20" ht="18.0" customHeight="1">
      <c r="B20" s="37" t="str">
        <f>IF(Tasks!C13="","",Tasks!C13)</f>
        <v/>
      </c>
      <c r="C20" s="38" t="str">
        <f>IF(B20="","",Tasks!H13)</f>
        <v/>
      </c>
      <c r="D20" s="39" t="str">
        <f>IF(OR(B20="",Tasks!I13=""),"",MATCH(Tasks!I13,Lists!$C$2:$C$4,0))</f>
        <v/>
      </c>
      <c r="E20" s="39" t="str">
        <f>IF(OR(B20="",Tasks!J13=""),"",MATCH(Tasks!J13,Lists!$D$2:$D$4,0))</f>
        <v/>
      </c>
      <c r="F20" s="39" t="str">
        <f>IF(B20="","",COUNTIF(Examples!$B$8:$B$66,B20))</f>
        <v/>
      </c>
      <c r="G20" s="39" t="str">
        <f>IF(B20="","",IF(COUNTIFS('How you decide'!$B$8:$B$37,B20,'How you decide'!$C$8:$C$37,"?*")&gt;0,"Yes","No"))</f>
        <v/>
      </c>
      <c r="H20" s="40" t="str">
        <f>IF(B20="","",IF(Tasks!M13="","",Tasks!M13))</f>
        <v/>
      </c>
      <c r="I20" s="39" t="str">
        <f t="shared" si="1"/>
        <v/>
      </c>
    </row>
    <row r="21" ht="18.0" customHeight="1">
      <c r="B21" s="37" t="str">
        <f>IF(Tasks!C14="","",Tasks!C14)</f>
        <v/>
      </c>
      <c r="C21" s="38" t="str">
        <f>IF(B21="","",Tasks!H14)</f>
        <v/>
      </c>
      <c r="D21" s="39" t="str">
        <f>IF(OR(B21="",Tasks!I14=""),"",MATCH(Tasks!I14,Lists!$C$2:$C$4,0))</f>
        <v/>
      </c>
      <c r="E21" s="39" t="str">
        <f>IF(OR(B21="",Tasks!J14=""),"",MATCH(Tasks!J14,Lists!$D$2:$D$4,0))</f>
        <v/>
      </c>
      <c r="F21" s="39" t="str">
        <f>IF(B21="","",COUNTIF(Examples!$B$8:$B$66,B21))</f>
        <v/>
      </c>
      <c r="G21" s="39" t="str">
        <f>IF(B21="","",IF(COUNTIFS('How you decide'!$B$8:$B$37,B21,'How you decide'!$C$8:$C$37,"?*")&gt;0,"Yes","No"))</f>
        <v/>
      </c>
      <c r="H21" s="40" t="str">
        <f>IF(B21="","",IF(Tasks!M14="","",Tasks!M14))</f>
        <v/>
      </c>
      <c r="I21" s="39" t="str">
        <f t="shared" si="1"/>
        <v/>
      </c>
    </row>
    <row r="22" ht="18.0" customHeight="1">
      <c r="B22" s="37" t="str">
        <f>IF(Tasks!C15="","",Tasks!C15)</f>
        <v/>
      </c>
      <c r="C22" s="38" t="str">
        <f>IF(B22="","",Tasks!H15)</f>
        <v/>
      </c>
      <c r="D22" s="39" t="str">
        <f>IF(OR(B22="",Tasks!I15=""),"",MATCH(Tasks!I15,Lists!$C$2:$C$4,0))</f>
        <v/>
      </c>
      <c r="E22" s="39" t="str">
        <f>IF(OR(B22="",Tasks!J15=""),"",MATCH(Tasks!J15,Lists!$D$2:$D$4,0))</f>
        <v/>
      </c>
      <c r="F22" s="39" t="str">
        <f>IF(B22="","",COUNTIF(Examples!$B$8:$B$66,B22))</f>
        <v/>
      </c>
      <c r="G22" s="39" t="str">
        <f>IF(B22="","",IF(COUNTIFS('How you decide'!$B$8:$B$37,B22,'How you decide'!$C$8:$C$37,"?*")&gt;0,"Yes","No"))</f>
        <v/>
      </c>
      <c r="H22" s="40" t="str">
        <f>IF(B22="","",IF(Tasks!M15="","",Tasks!M15))</f>
        <v/>
      </c>
      <c r="I22" s="39" t="str">
        <f t="shared" si="1"/>
        <v/>
      </c>
    </row>
    <row r="23" ht="18.0" customHeight="1">
      <c r="B23" s="37" t="str">
        <f>IF(Tasks!C16="","",Tasks!C16)</f>
        <v/>
      </c>
      <c r="C23" s="38" t="str">
        <f>IF(B23="","",Tasks!H16)</f>
        <v/>
      </c>
      <c r="D23" s="39" t="str">
        <f>IF(OR(B23="",Tasks!I16=""),"",MATCH(Tasks!I16,Lists!$C$2:$C$4,0))</f>
        <v/>
      </c>
      <c r="E23" s="39" t="str">
        <f>IF(OR(B23="",Tasks!J16=""),"",MATCH(Tasks!J16,Lists!$D$2:$D$4,0))</f>
        <v/>
      </c>
      <c r="F23" s="39" t="str">
        <f>IF(B23="","",COUNTIF(Examples!$B$8:$B$66,B23))</f>
        <v/>
      </c>
      <c r="G23" s="39" t="str">
        <f>IF(B23="","",IF(COUNTIFS('How you decide'!$B$8:$B$37,B23,'How you decide'!$C$8:$C$37,"?*")&gt;0,"Yes","No"))</f>
        <v/>
      </c>
      <c r="H23" s="40" t="str">
        <f>IF(B23="","",IF(Tasks!M16="","",Tasks!M16))</f>
        <v/>
      </c>
      <c r="I23" s="39" t="str">
        <f t="shared" si="1"/>
        <v/>
      </c>
    </row>
    <row r="24" ht="18.0" customHeight="1">
      <c r="B24" s="37" t="str">
        <f>IF(Tasks!C17="","",Tasks!C17)</f>
        <v/>
      </c>
      <c r="C24" s="38" t="str">
        <f>IF(B24="","",Tasks!H17)</f>
        <v/>
      </c>
      <c r="D24" s="39" t="str">
        <f>IF(OR(B24="",Tasks!I17=""),"",MATCH(Tasks!I17,Lists!$C$2:$C$4,0))</f>
        <v/>
      </c>
      <c r="E24" s="39" t="str">
        <f>IF(OR(B24="",Tasks!J17=""),"",MATCH(Tasks!J17,Lists!$D$2:$D$4,0))</f>
        <v/>
      </c>
      <c r="F24" s="39" t="str">
        <f>IF(B24="","",COUNTIF(Examples!$B$8:$B$66,B24))</f>
        <v/>
      </c>
      <c r="G24" s="39" t="str">
        <f>IF(B24="","",IF(COUNTIFS('How you decide'!$B$8:$B$37,B24,'How you decide'!$C$8:$C$37,"?*")&gt;0,"Yes","No"))</f>
        <v/>
      </c>
      <c r="H24" s="40" t="str">
        <f>IF(B24="","",IF(Tasks!M17="","",Tasks!M17))</f>
        <v/>
      </c>
      <c r="I24" s="39" t="str">
        <f t="shared" si="1"/>
        <v/>
      </c>
    </row>
    <row r="25" ht="18.0" customHeight="1">
      <c r="B25" s="37" t="str">
        <f>IF(Tasks!C18="","",Tasks!C18)</f>
        <v/>
      </c>
      <c r="C25" s="38" t="str">
        <f>IF(B25="","",Tasks!H18)</f>
        <v/>
      </c>
      <c r="D25" s="39" t="str">
        <f>IF(OR(B25="",Tasks!I18=""),"",MATCH(Tasks!I18,Lists!$C$2:$C$4,0))</f>
        <v/>
      </c>
      <c r="E25" s="39" t="str">
        <f>IF(OR(B25="",Tasks!J18=""),"",MATCH(Tasks!J18,Lists!$D$2:$D$4,0))</f>
        <v/>
      </c>
      <c r="F25" s="39" t="str">
        <f>IF(B25="","",COUNTIF(Examples!$B$8:$B$66,B25))</f>
        <v/>
      </c>
      <c r="G25" s="39" t="str">
        <f>IF(B25="","",IF(COUNTIFS('How you decide'!$B$8:$B$37,B25,'How you decide'!$C$8:$C$37,"?*")&gt;0,"Yes","No"))</f>
        <v/>
      </c>
      <c r="H25" s="40" t="str">
        <f>IF(B25="","",IF(Tasks!M18="","",Tasks!M18))</f>
        <v/>
      </c>
      <c r="I25" s="39" t="str">
        <f t="shared" si="1"/>
        <v/>
      </c>
    </row>
    <row r="26" ht="18.0" customHeight="1">
      <c r="B26" s="37" t="str">
        <f>IF(Tasks!C19="","",Tasks!C19)</f>
        <v/>
      </c>
      <c r="C26" s="38" t="str">
        <f>IF(B26="","",Tasks!H19)</f>
        <v/>
      </c>
      <c r="D26" s="39" t="str">
        <f>IF(OR(B26="",Tasks!I19=""),"",MATCH(Tasks!I19,Lists!$C$2:$C$4,0))</f>
        <v/>
      </c>
      <c r="E26" s="39" t="str">
        <f>IF(OR(B26="",Tasks!J19=""),"",MATCH(Tasks!J19,Lists!$D$2:$D$4,0))</f>
        <v/>
      </c>
      <c r="F26" s="39" t="str">
        <f>IF(B26="","",COUNTIF(Examples!$B$8:$B$66,B26))</f>
        <v/>
      </c>
      <c r="G26" s="39" t="str">
        <f>IF(B26="","",IF(COUNTIFS('How you decide'!$B$8:$B$37,B26,'How you decide'!$C$8:$C$37,"?*")&gt;0,"Yes","No"))</f>
        <v/>
      </c>
      <c r="H26" s="40" t="str">
        <f>IF(B26="","",IF(Tasks!M19="","",Tasks!M19))</f>
        <v/>
      </c>
      <c r="I26" s="39" t="str">
        <f t="shared" si="1"/>
        <v/>
      </c>
    </row>
    <row r="27" ht="18.0" customHeight="1">
      <c r="B27" s="37" t="str">
        <f>IF(Tasks!C20="","",Tasks!C20)</f>
        <v/>
      </c>
      <c r="C27" s="38" t="str">
        <f>IF(B27="","",Tasks!H20)</f>
        <v/>
      </c>
      <c r="D27" s="39" t="str">
        <f>IF(OR(B27="",Tasks!I20=""),"",MATCH(Tasks!I20,Lists!$C$2:$C$4,0))</f>
        <v/>
      </c>
      <c r="E27" s="39" t="str">
        <f>IF(OR(B27="",Tasks!J20=""),"",MATCH(Tasks!J20,Lists!$D$2:$D$4,0))</f>
        <v/>
      </c>
      <c r="F27" s="39" t="str">
        <f>IF(B27="","",COUNTIF(Examples!$B$8:$B$66,B27))</f>
        <v/>
      </c>
      <c r="G27" s="39" t="str">
        <f>IF(B27="","",IF(COUNTIFS('How you decide'!$B$8:$B$37,B27,'How you decide'!$C$8:$C$37,"?*")&gt;0,"Yes","No"))</f>
        <v/>
      </c>
      <c r="H27" s="40" t="str">
        <f>IF(B27="","",IF(Tasks!M20="","",Tasks!M20))</f>
        <v/>
      </c>
      <c r="I27" s="39" t="str">
        <f t="shared" si="1"/>
        <v/>
      </c>
    </row>
    <row r="28" ht="18.0" customHeight="1">
      <c r="B28" s="37" t="str">
        <f>IF(Tasks!C21="","",Tasks!C21)</f>
        <v/>
      </c>
      <c r="C28" s="38" t="str">
        <f>IF(B28="","",Tasks!H21)</f>
        <v/>
      </c>
      <c r="D28" s="39" t="str">
        <f>IF(OR(B28="",Tasks!I21=""),"",MATCH(Tasks!I21,Lists!$C$2:$C$4,0))</f>
        <v/>
      </c>
      <c r="E28" s="39" t="str">
        <f>IF(OR(B28="",Tasks!J21=""),"",MATCH(Tasks!J21,Lists!$D$2:$D$4,0))</f>
        <v/>
      </c>
      <c r="F28" s="39" t="str">
        <f>IF(B28="","",COUNTIF(Examples!$B$8:$B$66,B28))</f>
        <v/>
      </c>
      <c r="G28" s="39" t="str">
        <f>IF(B28="","",IF(COUNTIFS('How you decide'!$B$8:$B$37,B28,'How you decide'!$C$8:$C$37,"?*")&gt;0,"Yes","No"))</f>
        <v/>
      </c>
      <c r="H28" s="40" t="str">
        <f>IF(B28="","",IF(Tasks!M21="","",Tasks!M21))</f>
        <v/>
      </c>
      <c r="I28" s="39" t="str">
        <f t="shared" si="1"/>
        <v/>
      </c>
    </row>
    <row r="29" ht="18.0" customHeight="1">
      <c r="B29" s="37" t="str">
        <f>IF(Tasks!C22="","",Tasks!C22)</f>
        <v/>
      </c>
      <c r="C29" s="38" t="str">
        <f>IF(B29="","",Tasks!H22)</f>
        <v/>
      </c>
      <c r="D29" s="39" t="str">
        <f>IF(OR(B29="",Tasks!I22=""),"",MATCH(Tasks!I22,Lists!$C$2:$C$4,0))</f>
        <v/>
      </c>
      <c r="E29" s="39" t="str">
        <f>IF(OR(B29="",Tasks!J22=""),"",MATCH(Tasks!J22,Lists!$D$2:$D$4,0))</f>
        <v/>
      </c>
      <c r="F29" s="39" t="str">
        <f>IF(B29="","",COUNTIF(Examples!$B$8:$B$66,B29))</f>
        <v/>
      </c>
      <c r="G29" s="39" t="str">
        <f>IF(B29="","",IF(COUNTIFS('How you decide'!$B$8:$B$37,B29,'How you decide'!$C$8:$C$37,"?*")&gt;0,"Yes","No"))</f>
        <v/>
      </c>
      <c r="H29" s="40" t="str">
        <f>IF(B29="","",IF(Tasks!M22="","",Tasks!M22))</f>
        <v/>
      </c>
      <c r="I29" s="39" t="str">
        <f t="shared" si="1"/>
        <v/>
      </c>
    </row>
    <row r="30" ht="18.0" customHeight="1">
      <c r="B30" s="37" t="str">
        <f>IF(Tasks!C23="","",Tasks!C23)</f>
        <v/>
      </c>
      <c r="C30" s="38" t="str">
        <f>IF(B30="","",Tasks!H23)</f>
        <v/>
      </c>
      <c r="D30" s="39" t="str">
        <f>IF(OR(B30="",Tasks!I23=""),"",MATCH(Tasks!I23,Lists!$C$2:$C$4,0))</f>
        <v/>
      </c>
      <c r="E30" s="39" t="str">
        <f>IF(OR(B30="",Tasks!J23=""),"",MATCH(Tasks!J23,Lists!$D$2:$D$4,0))</f>
        <v/>
      </c>
      <c r="F30" s="39" t="str">
        <f>IF(B30="","",COUNTIF(Examples!$B$8:$B$66,B30))</f>
        <v/>
      </c>
      <c r="G30" s="39" t="str">
        <f>IF(B30="","",IF(COUNTIFS('How you decide'!$B$8:$B$37,B30,'How you decide'!$C$8:$C$37,"?*")&gt;0,"Yes","No"))</f>
        <v/>
      </c>
      <c r="H30" s="40" t="str">
        <f>IF(B30="","",IF(Tasks!M23="","",Tasks!M23))</f>
        <v/>
      </c>
      <c r="I30" s="39" t="str">
        <f t="shared" si="1"/>
        <v/>
      </c>
    </row>
    <row r="31" ht="18.0" customHeight="1">
      <c r="B31" s="37" t="str">
        <f>IF(Tasks!C24="","",Tasks!C24)</f>
        <v/>
      </c>
      <c r="C31" s="38" t="str">
        <f>IF(B31="","",Tasks!H24)</f>
        <v/>
      </c>
      <c r="D31" s="39" t="str">
        <f>IF(OR(B31="",Tasks!I24=""),"",MATCH(Tasks!I24,Lists!$C$2:$C$4,0))</f>
        <v/>
      </c>
      <c r="E31" s="39" t="str">
        <f>IF(OR(B31="",Tasks!J24=""),"",MATCH(Tasks!J24,Lists!$D$2:$D$4,0))</f>
        <v/>
      </c>
      <c r="F31" s="39" t="str">
        <f>IF(B31="","",COUNTIF(Examples!$B$8:$B$66,B31))</f>
        <v/>
      </c>
      <c r="G31" s="39" t="str">
        <f>IF(B31="","",IF(COUNTIFS('How you decide'!$B$8:$B$37,B31,'How you decide'!$C$8:$C$37,"?*")&gt;0,"Yes","No"))</f>
        <v/>
      </c>
      <c r="H31" s="40" t="str">
        <f>IF(B31="","",IF(Tasks!M24="","",Tasks!M24))</f>
        <v/>
      </c>
      <c r="I31" s="39" t="str">
        <f t="shared" si="1"/>
        <v/>
      </c>
    </row>
    <row r="32" ht="18.0" customHeight="1">
      <c r="B32" s="37" t="str">
        <f>IF(Tasks!C25="","",Tasks!C25)</f>
        <v/>
      </c>
      <c r="C32" s="38" t="str">
        <f>IF(B32="","",Tasks!H25)</f>
        <v/>
      </c>
      <c r="D32" s="39" t="str">
        <f>IF(OR(B32="",Tasks!I25=""),"",MATCH(Tasks!I25,Lists!$C$2:$C$4,0))</f>
        <v/>
      </c>
      <c r="E32" s="39" t="str">
        <f>IF(OR(B32="",Tasks!J25=""),"",MATCH(Tasks!J25,Lists!$D$2:$D$4,0))</f>
        <v/>
      </c>
      <c r="F32" s="39" t="str">
        <f>IF(B32="","",COUNTIF(Examples!$B$8:$B$66,B32))</f>
        <v/>
      </c>
      <c r="G32" s="39" t="str">
        <f>IF(B32="","",IF(COUNTIFS('How you decide'!$B$8:$B$37,B32,'How you decide'!$C$8:$C$37,"?*")&gt;0,"Yes","No"))</f>
        <v/>
      </c>
      <c r="H32" s="40" t="str">
        <f>IF(B32="","",IF(Tasks!M25="","",Tasks!M25))</f>
        <v/>
      </c>
      <c r="I32" s="39" t="str">
        <f t="shared" si="1"/>
        <v/>
      </c>
    </row>
    <row r="33" ht="18.0" customHeight="1">
      <c r="B33" s="37" t="str">
        <f>IF(Tasks!C26="","",Tasks!C26)</f>
        <v/>
      </c>
      <c r="C33" s="38" t="str">
        <f>IF(B33="","",Tasks!H26)</f>
        <v/>
      </c>
      <c r="D33" s="39" t="str">
        <f>IF(OR(B33="",Tasks!I26=""),"",MATCH(Tasks!I26,Lists!$C$2:$C$4,0))</f>
        <v/>
      </c>
      <c r="E33" s="39" t="str">
        <f>IF(OR(B33="",Tasks!J26=""),"",MATCH(Tasks!J26,Lists!$D$2:$D$4,0))</f>
        <v/>
      </c>
      <c r="F33" s="39" t="str">
        <f>IF(B33="","",COUNTIF(Examples!$B$8:$B$66,B33))</f>
        <v/>
      </c>
      <c r="G33" s="39" t="str">
        <f>IF(B33="","",IF(COUNTIFS('How you decide'!$B$8:$B$37,B33,'How you decide'!$C$8:$C$37,"?*")&gt;0,"Yes","No"))</f>
        <v/>
      </c>
      <c r="H33" s="40" t="str">
        <f>IF(B33="","",IF(Tasks!M26="","",Tasks!M26))</f>
        <v/>
      </c>
      <c r="I33" s="39" t="str">
        <f t="shared" si="1"/>
        <v/>
      </c>
    </row>
    <row r="34" ht="18.0" customHeight="1">
      <c r="B34" s="37" t="str">
        <f>IF(Tasks!C27="","",Tasks!C27)</f>
        <v/>
      </c>
      <c r="C34" s="38" t="str">
        <f>IF(B34="","",Tasks!H27)</f>
        <v/>
      </c>
      <c r="D34" s="39" t="str">
        <f>IF(OR(B34="",Tasks!I27=""),"",MATCH(Tasks!I27,Lists!$C$2:$C$4,0))</f>
        <v/>
      </c>
      <c r="E34" s="39" t="str">
        <f>IF(OR(B34="",Tasks!J27=""),"",MATCH(Tasks!J27,Lists!$D$2:$D$4,0))</f>
        <v/>
      </c>
      <c r="F34" s="39" t="str">
        <f>IF(B34="","",COUNTIF(Examples!$B$8:$B$66,B34))</f>
        <v/>
      </c>
      <c r="G34" s="39" t="str">
        <f>IF(B34="","",IF(COUNTIFS('How you decide'!$B$8:$B$37,B34,'How you decide'!$C$8:$C$37,"?*")&gt;0,"Yes","No"))</f>
        <v/>
      </c>
      <c r="H34" s="40" t="str">
        <f>IF(B34="","",IF(Tasks!M27="","",Tasks!M27))</f>
        <v/>
      </c>
      <c r="I34" s="39" t="str">
        <f t="shared" si="1"/>
        <v/>
      </c>
    </row>
    <row r="35" ht="18.0" customHeight="1">
      <c r="B35" s="37" t="str">
        <f>IF(Tasks!C28="","",Tasks!C28)</f>
        <v/>
      </c>
      <c r="C35" s="38" t="str">
        <f>IF(B35="","",Tasks!H28)</f>
        <v/>
      </c>
      <c r="D35" s="39" t="str">
        <f>IF(OR(B35="",Tasks!I28=""),"",MATCH(Tasks!I28,Lists!$C$2:$C$4,0))</f>
        <v/>
      </c>
      <c r="E35" s="39" t="str">
        <f>IF(OR(B35="",Tasks!J28=""),"",MATCH(Tasks!J28,Lists!$D$2:$D$4,0))</f>
        <v/>
      </c>
      <c r="F35" s="39" t="str">
        <f>IF(B35="","",COUNTIF(Examples!$B$8:$B$66,B35))</f>
        <v/>
      </c>
      <c r="G35" s="39" t="str">
        <f>IF(B35="","",IF(COUNTIFS('How you decide'!$B$8:$B$37,B35,'How you decide'!$C$8:$C$37,"?*")&gt;0,"Yes","No"))</f>
        <v/>
      </c>
      <c r="H35" s="40" t="str">
        <f>IF(B35="","",IF(Tasks!M28="","",Tasks!M28))</f>
        <v/>
      </c>
      <c r="I35" s="39" t="str">
        <f t="shared" si="1"/>
        <v/>
      </c>
    </row>
    <row r="36" ht="18.0" customHeight="1">
      <c r="B36" s="37" t="str">
        <f>IF(Tasks!C29="","",Tasks!C29)</f>
        <v/>
      </c>
      <c r="C36" s="38" t="str">
        <f>IF(B36="","",Tasks!H29)</f>
        <v/>
      </c>
      <c r="D36" s="39" t="str">
        <f>IF(OR(B36="",Tasks!I29=""),"",MATCH(Tasks!I29,Lists!$C$2:$C$4,0))</f>
        <v/>
      </c>
      <c r="E36" s="39" t="str">
        <f>IF(OR(B36="",Tasks!J29=""),"",MATCH(Tasks!J29,Lists!$D$2:$D$4,0))</f>
        <v/>
      </c>
      <c r="F36" s="39" t="str">
        <f>IF(B36="","",COUNTIF(Examples!$B$8:$B$66,B36))</f>
        <v/>
      </c>
      <c r="G36" s="39" t="str">
        <f>IF(B36="","",IF(COUNTIFS('How you decide'!$B$8:$B$37,B36,'How you decide'!$C$8:$C$37,"?*")&gt;0,"Yes","No"))</f>
        <v/>
      </c>
      <c r="H36" s="40" t="str">
        <f>IF(B36="","",IF(Tasks!M29="","",Tasks!M29))</f>
        <v/>
      </c>
      <c r="I36" s="39" t="str">
        <f t="shared" si="1"/>
        <v/>
      </c>
    </row>
    <row r="37" ht="18.0" customHeight="1">
      <c r="B37" s="37" t="str">
        <f>IF(Tasks!C30="","",Tasks!C30)</f>
        <v/>
      </c>
      <c r="C37" s="38" t="str">
        <f>IF(B37="","",Tasks!H30)</f>
        <v/>
      </c>
      <c r="D37" s="39" t="str">
        <f>IF(OR(B37="",Tasks!I30=""),"",MATCH(Tasks!I30,Lists!$C$2:$C$4,0))</f>
        <v/>
      </c>
      <c r="E37" s="39" t="str">
        <f>IF(OR(B37="",Tasks!J30=""),"",MATCH(Tasks!J30,Lists!$D$2:$D$4,0))</f>
        <v/>
      </c>
      <c r="F37" s="39" t="str">
        <f>IF(B37="","",COUNTIF(Examples!$B$8:$B$66,B37))</f>
        <v/>
      </c>
      <c r="G37" s="39" t="str">
        <f>IF(B37="","",IF(COUNTIFS('How you decide'!$B$8:$B$37,B37,'How you decide'!$C$8:$C$37,"?*")&gt;0,"Yes","No"))</f>
        <v/>
      </c>
      <c r="H37" s="40" t="str">
        <f>IF(B37="","",IF(Tasks!M30="","",Tasks!M30))</f>
        <v/>
      </c>
      <c r="I37" s="39" t="str">
        <f t="shared" si="1"/>
        <v/>
      </c>
    </row>
    <row r="38" ht="18.0" customHeight="1">
      <c r="B38" s="37" t="str">
        <f>IF(Tasks!C31="","",Tasks!C31)</f>
        <v/>
      </c>
      <c r="C38" s="38" t="str">
        <f>IF(B38="","",Tasks!H31)</f>
        <v/>
      </c>
      <c r="D38" s="39" t="str">
        <f>IF(OR(B38="",Tasks!I31=""),"",MATCH(Tasks!I31,Lists!$C$2:$C$4,0))</f>
        <v/>
      </c>
      <c r="E38" s="39" t="str">
        <f>IF(OR(B38="",Tasks!J31=""),"",MATCH(Tasks!J31,Lists!$D$2:$D$4,0))</f>
        <v/>
      </c>
      <c r="F38" s="39" t="str">
        <f>IF(B38="","",COUNTIF(Examples!$B$8:$B$66,B38))</f>
        <v/>
      </c>
      <c r="G38" s="39" t="str">
        <f>IF(B38="","",IF(COUNTIFS('How you decide'!$B$8:$B$37,B38,'How you decide'!$C$8:$C$37,"?*")&gt;0,"Yes","No"))</f>
        <v/>
      </c>
      <c r="H38" s="40" t="str">
        <f>IF(B38="","",IF(Tasks!M31="","",Tasks!M31))</f>
        <v/>
      </c>
      <c r="I38" s="39" t="str">
        <f t="shared" si="1"/>
        <v/>
      </c>
    </row>
    <row r="39" ht="18.0" customHeight="1">
      <c r="B39" s="37" t="str">
        <f>IF(Tasks!C32="","",Tasks!C32)</f>
        <v/>
      </c>
      <c r="C39" s="38" t="str">
        <f>IF(B39="","",Tasks!H32)</f>
        <v/>
      </c>
      <c r="D39" s="39" t="str">
        <f>IF(OR(B39="",Tasks!I32=""),"",MATCH(Tasks!I32,Lists!$C$2:$C$4,0))</f>
        <v/>
      </c>
      <c r="E39" s="39" t="str">
        <f>IF(OR(B39="",Tasks!J32=""),"",MATCH(Tasks!J32,Lists!$D$2:$D$4,0))</f>
        <v/>
      </c>
      <c r="F39" s="39" t="str">
        <f>IF(B39="","",COUNTIF(Examples!$B$8:$B$66,B39))</f>
        <v/>
      </c>
      <c r="G39" s="39" t="str">
        <f>IF(B39="","",IF(COUNTIFS('How you decide'!$B$8:$B$37,B39,'How you decide'!$C$8:$C$37,"?*")&gt;0,"Yes","No"))</f>
        <v/>
      </c>
      <c r="H39" s="40" t="str">
        <f>IF(B39="","",IF(Tasks!M32="","",Tasks!M32))</f>
        <v/>
      </c>
      <c r="I39" s="39" t="str">
        <f t="shared" si="1"/>
        <v/>
      </c>
    </row>
    <row r="40" ht="18.0" customHeight="1">
      <c r="B40" s="37" t="str">
        <f>IF(Tasks!C33="","",Tasks!C33)</f>
        <v/>
      </c>
      <c r="C40" s="38" t="str">
        <f>IF(B40="","",Tasks!H33)</f>
        <v/>
      </c>
      <c r="D40" s="39" t="str">
        <f>IF(OR(B40="",Tasks!I33=""),"",MATCH(Tasks!I33,Lists!$C$2:$C$4,0))</f>
        <v/>
      </c>
      <c r="E40" s="39" t="str">
        <f>IF(OR(B40="",Tasks!J33=""),"",MATCH(Tasks!J33,Lists!$D$2:$D$4,0))</f>
        <v/>
      </c>
      <c r="F40" s="39" t="str">
        <f>IF(B40="","",COUNTIF(Examples!$B$8:$B$66,B40))</f>
        <v/>
      </c>
      <c r="G40" s="39" t="str">
        <f>IF(B40="","",IF(COUNTIFS('How you decide'!$B$8:$B$37,B40,'How you decide'!$C$8:$C$37,"?*")&gt;0,"Yes","No"))</f>
        <v/>
      </c>
      <c r="H40" s="40" t="str">
        <f>IF(B40="","",IF(Tasks!M33="","",Tasks!M33))</f>
        <v/>
      </c>
      <c r="I40" s="39" t="str">
        <f t="shared" si="1"/>
        <v/>
      </c>
    </row>
    <row r="41" ht="18.0" customHeight="1">
      <c r="B41" s="37" t="str">
        <f>IF(Tasks!C34="","",Tasks!C34)</f>
        <v/>
      </c>
      <c r="C41" s="38" t="str">
        <f>IF(B41="","",Tasks!H34)</f>
        <v/>
      </c>
      <c r="D41" s="39" t="str">
        <f>IF(OR(B41="",Tasks!I34=""),"",MATCH(Tasks!I34,Lists!$C$2:$C$4,0))</f>
        <v/>
      </c>
      <c r="E41" s="39" t="str">
        <f>IF(OR(B41="",Tasks!J34=""),"",MATCH(Tasks!J34,Lists!$D$2:$D$4,0))</f>
        <v/>
      </c>
      <c r="F41" s="39" t="str">
        <f>IF(B41="","",COUNTIF(Examples!$B$8:$B$66,B41))</f>
        <v/>
      </c>
      <c r="G41" s="39" t="str">
        <f>IF(B41="","",IF(COUNTIFS('How you decide'!$B$8:$B$37,B41,'How you decide'!$C$8:$C$37,"?*")&gt;0,"Yes","No"))</f>
        <v/>
      </c>
      <c r="H41" s="40" t="str">
        <f>IF(B41="","",IF(Tasks!M34="","",Tasks!M34))</f>
        <v/>
      </c>
      <c r="I41" s="39" t="str">
        <f t="shared" si="1"/>
        <v/>
      </c>
    </row>
    <row r="42" ht="18.0" customHeight="1">
      <c r="B42" s="37" t="str">
        <f>IF(Tasks!C35="","",Tasks!C35)</f>
        <v/>
      </c>
      <c r="C42" s="38" t="str">
        <f>IF(B42="","",Tasks!H35)</f>
        <v/>
      </c>
      <c r="D42" s="39" t="str">
        <f>IF(OR(B42="",Tasks!I35=""),"",MATCH(Tasks!I35,Lists!$C$2:$C$4,0))</f>
        <v/>
      </c>
      <c r="E42" s="39" t="str">
        <f>IF(OR(B42="",Tasks!J35=""),"",MATCH(Tasks!J35,Lists!$D$2:$D$4,0))</f>
        <v/>
      </c>
      <c r="F42" s="39" t="str">
        <f>IF(B42="","",COUNTIF(Examples!$B$8:$B$66,B42))</f>
        <v/>
      </c>
      <c r="G42" s="39" t="str">
        <f>IF(B42="","",IF(COUNTIFS('How you decide'!$B$8:$B$37,B42,'How you decide'!$C$8:$C$37,"?*")&gt;0,"Yes","No"))</f>
        <v/>
      </c>
      <c r="H42" s="40" t="str">
        <f>IF(B42="","",IF(Tasks!M35="","",Tasks!M35))</f>
        <v/>
      </c>
      <c r="I42" s="39" t="str">
        <f t="shared" si="1"/>
        <v/>
      </c>
    </row>
    <row r="43" ht="18.0" customHeight="1">
      <c r="B43" s="37" t="str">
        <f>IF(Tasks!C36="","",Tasks!C36)</f>
        <v/>
      </c>
      <c r="C43" s="38" t="str">
        <f>IF(B43="","",Tasks!H36)</f>
        <v/>
      </c>
      <c r="D43" s="39" t="str">
        <f>IF(OR(B43="",Tasks!I36=""),"",MATCH(Tasks!I36,Lists!$C$2:$C$4,0))</f>
        <v/>
      </c>
      <c r="E43" s="39" t="str">
        <f>IF(OR(B43="",Tasks!J36=""),"",MATCH(Tasks!J36,Lists!$D$2:$D$4,0))</f>
        <v/>
      </c>
      <c r="F43" s="39" t="str">
        <f>IF(B43="","",COUNTIF(Examples!$B$8:$B$66,B43))</f>
        <v/>
      </c>
      <c r="G43" s="39" t="str">
        <f>IF(B43="","",IF(COUNTIFS('How you decide'!$B$8:$B$37,B43,'How you decide'!$C$8:$C$37,"?*")&gt;0,"Yes","No"))</f>
        <v/>
      </c>
      <c r="H43" s="40" t="str">
        <f>IF(B43="","",IF(Tasks!M36="","",Tasks!M36))</f>
        <v/>
      </c>
      <c r="I43" s="39" t="str">
        <f t="shared" si="1"/>
        <v/>
      </c>
    </row>
    <row r="44" ht="18.0" customHeight="1">
      <c r="B44" s="37" t="str">
        <f>IF(Tasks!C37="","",Tasks!C37)</f>
        <v/>
      </c>
      <c r="C44" s="38" t="str">
        <f>IF(B44="","",Tasks!H37)</f>
        <v/>
      </c>
      <c r="D44" s="39" t="str">
        <f>IF(OR(B44="",Tasks!I37=""),"",MATCH(Tasks!I37,Lists!$C$2:$C$4,0))</f>
        <v/>
      </c>
      <c r="E44" s="39" t="str">
        <f>IF(OR(B44="",Tasks!J37=""),"",MATCH(Tasks!J37,Lists!$D$2:$D$4,0))</f>
        <v/>
      </c>
      <c r="F44" s="39" t="str">
        <f>IF(B44="","",COUNTIF(Examples!$B$8:$B$66,B44))</f>
        <v/>
      </c>
      <c r="G44" s="39" t="str">
        <f>IF(B44="","",IF(COUNTIFS('How you decide'!$B$8:$B$37,B44,'How you decide'!$C$8:$C$37,"?*")&gt;0,"Yes","No"))</f>
        <v/>
      </c>
      <c r="H44" s="40" t="str">
        <f>IF(B44="","",IF(Tasks!M37="","",Tasks!M37))</f>
        <v/>
      </c>
      <c r="I44" s="39" t="str">
        <f t="shared" si="1"/>
        <v/>
      </c>
    </row>
    <row r="45" ht="15.75" customHeight="1"/>
    <row r="46" ht="15.75" customHeight="1">
      <c r="B46" s="7" t="s">
        <v>192</v>
      </c>
    </row>
    <row r="47" ht="15.75" customHeight="1">
      <c r="B47" s="36" t="s">
        <v>193</v>
      </c>
    </row>
    <row r="48" ht="15.75" customHeight="1">
      <c r="B48" s="42"/>
      <c r="C48" s="43" t="s">
        <v>194</v>
      </c>
      <c r="D48" s="43" t="s">
        <v>195</v>
      </c>
      <c r="E48" s="43" t="s">
        <v>196</v>
      </c>
    </row>
    <row r="49" ht="24.0" customHeight="1">
      <c r="B49" s="44" t="s">
        <v>197</v>
      </c>
      <c r="C49" s="45">
        <f>SUMIFS($C$15:$C$44,$D$15:$D$44,1,$E$15:$E$44,1,$H$15:$H$44,"&lt;&gt;Keep with people")</f>
        <v>0</v>
      </c>
      <c r="D49" s="46">
        <f>SUMIFS($C$15:$C$44,$D$15:$D$44,1,$E$15:$E$44,2,$H$15:$H$44,"&lt;&gt;Keep with people")</f>
        <v>0</v>
      </c>
      <c r="E49" s="47">
        <f>SUMIFS($C$15:$C$44,$D$15:$D$44,1,$E$15:$E$44,3,$H$15:$H$44,"&lt;&gt;Keep with people")</f>
        <v>0</v>
      </c>
    </row>
    <row r="50" ht="24.0" customHeight="1">
      <c r="B50" s="44" t="s">
        <v>198</v>
      </c>
      <c r="C50" s="46">
        <f>SUMIFS($C$15:$C$44,$D$15:$D$44,2,$E$15:$E$44,1,$H$15:$H$44,"&lt;&gt;Keep with people")</f>
        <v>0</v>
      </c>
      <c r="D50" s="47">
        <f>SUMIFS($C$15:$C$44,$D$15:$D$44,2,$E$15:$E$44,2,$H$15:$H$44,"&lt;&gt;Keep with people")</f>
        <v>0</v>
      </c>
      <c r="E50" s="48">
        <f>SUMIFS($C$15:$C$44,$D$15:$D$44,2,$E$15:$E$44,3,$H$15:$H$44,"&lt;&gt;Keep with people")</f>
        <v>0</v>
      </c>
    </row>
    <row r="51" ht="24.0" customHeight="1">
      <c r="B51" s="44" t="s">
        <v>199</v>
      </c>
      <c r="C51" s="47">
        <f>SUMIFS($C$15:$C$44,$D$15:$D$44,3,$E$15:$E$44,1,$H$15:$H$44,"&lt;&gt;Keep with people")</f>
        <v>0</v>
      </c>
      <c r="D51" s="48">
        <f>SUMIFS($C$15:$C$44,$D$15:$D$44,3,$E$15:$E$44,2,$H$15:$H$44,"&lt;&gt;Keep with people")</f>
        <v>0</v>
      </c>
      <c r="E51" s="49">
        <f>SUMIFS($C$15:$C$44,$D$15:$D$44,3,$E$15:$E$44,3,$H$15:$H$44,"&lt;&gt;Keep with people")</f>
        <v>0</v>
      </c>
    </row>
    <row r="52" ht="15.75" customHeight="1">
      <c r="B52" s="36" t="s">
        <v>200</v>
      </c>
    </row>
    <row r="53" ht="15.75" customHeight="1"/>
    <row r="54" ht="15.75" customHeight="1">
      <c r="B54" s="7" t="s">
        <v>201</v>
      </c>
    </row>
    <row r="55" ht="15.75" customHeight="1">
      <c r="B55" s="12" t="s">
        <v>202</v>
      </c>
      <c r="C55" s="50">
        <f>COUNTIFS(B15:B44,"&lt;&gt;",F15:F44,"&lt;3")</f>
        <v>0</v>
      </c>
    </row>
    <row r="56" ht="15.75" customHeight="1">
      <c r="B56" s="12" t="s">
        <v>203</v>
      </c>
      <c r="C56" s="50">
        <f>COUNTIF(G15:G44,"No")</f>
        <v>0</v>
      </c>
    </row>
    <row r="57" ht="15.75" customHeight="1">
      <c r="B57" s="12" t="s">
        <v>204</v>
      </c>
      <c r="C57" s="50">
        <f>COUNTIFS(Tasks!C8:C37,"&lt;&gt;",Tasks!M8:M37,"")</f>
        <v>0</v>
      </c>
    </row>
    <row r="58" ht="15.75" customHeight="1">
      <c r="B58" s="12" t="s">
        <v>205</v>
      </c>
      <c r="C58" s="50">
        <f>COUNTIF(Examples!F8:F66,"Went wrong")</f>
        <v>0</v>
      </c>
    </row>
    <row r="59" ht="15.75" customHeight="1">
      <c r="B59" s="12" t="s">
        <v>206</v>
      </c>
      <c r="C59" s="50">
        <f>COUNTIFS('Next steps'!E8:E36,"&lt;"&amp;TODAY(),'Next steps'!F8:F36,"&lt;&gt;Done",'Next steps'!E8:E36,"&lt;&gt;")</f>
        <v>0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3:I3"/>
    <mergeCell ref="B4:I4"/>
  </mergeCells>
  <conditionalFormatting sqref="F15:F44">
    <cfRule type="expression" dxfId="11" priority="1">
      <formula>AND(B15&lt;&gt;"",F15&lt;3)</formula>
    </cfRule>
  </conditionalFormatting>
  <conditionalFormatting sqref="G15:G44">
    <cfRule type="cellIs" dxfId="9" priority="2" stopIfTrue="1" operator="equal">
      <formula>"No"</formula>
    </cfRule>
  </conditionalFormatting>
  <hyperlinks>
    <hyperlink display="← Start here" location="'Start here'!A1" ref="B1"/>
  </hyperlinks>
  <printOptions/>
  <pageMargins bottom="1.0" footer="0.0" header="0.0" left="0.75" right="0.75" top="1.0"/>
  <pageSetup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6.86"/>
    <col customWidth="1" min="2" max="2" width="14.43"/>
    <col customWidth="1" min="3" max="3" width="22.29"/>
    <col customWidth="1" min="4" max="4" width="34.86"/>
    <col customWidth="1" min="5" max="5" width="16.29"/>
    <col customWidth="1" min="6" max="6" width="23.0"/>
    <col customWidth="1" min="7" max="7" width="13.71"/>
    <col customWidth="1" min="8" max="8" width="23.0"/>
    <col customWidth="1" min="9" max="9" width="12.14"/>
    <col customWidth="1" min="10" max="10" width="20.86"/>
    <col customWidth="1" min="11" max="11" width="10.86"/>
    <col customWidth="1" min="12" max="12" width="6.29"/>
    <col customWidth="1" min="13" max="26" width="8.71"/>
  </cols>
  <sheetData>
    <row r="1">
      <c r="A1" s="41" t="s">
        <v>146</v>
      </c>
      <c r="B1" s="41" t="s">
        <v>147</v>
      </c>
      <c r="C1" s="41" t="s">
        <v>148</v>
      </c>
      <c r="D1" s="41" t="s">
        <v>149</v>
      </c>
      <c r="E1" s="41" t="s">
        <v>150</v>
      </c>
      <c r="F1" s="41" t="s">
        <v>151</v>
      </c>
      <c r="G1" s="41" t="s">
        <v>152</v>
      </c>
      <c r="H1" s="41" t="s">
        <v>153</v>
      </c>
      <c r="I1" s="41" t="s">
        <v>154</v>
      </c>
      <c r="J1" s="41" t="s">
        <v>155</v>
      </c>
      <c r="K1" s="41" t="s">
        <v>88</v>
      </c>
      <c r="L1" s="41" t="s">
        <v>156</v>
      </c>
    </row>
    <row r="2">
      <c r="A2" s="41" t="s">
        <v>157</v>
      </c>
      <c r="B2" s="41">
        <v>21.7</v>
      </c>
      <c r="C2" s="41" t="s">
        <v>158</v>
      </c>
      <c r="D2" s="41" t="s">
        <v>159</v>
      </c>
      <c r="E2" s="41" t="s">
        <v>160</v>
      </c>
      <c r="F2" s="41" t="s">
        <v>161</v>
      </c>
      <c r="G2" s="41" t="s">
        <v>162</v>
      </c>
      <c r="H2" s="41" t="s">
        <v>163</v>
      </c>
      <c r="I2" s="41" t="s">
        <v>164</v>
      </c>
      <c r="J2" s="41" t="s">
        <v>165</v>
      </c>
      <c r="K2" s="41" t="s">
        <v>94</v>
      </c>
      <c r="L2" s="41" t="s">
        <v>164</v>
      </c>
    </row>
    <row r="3">
      <c r="A3" s="41" t="s">
        <v>166</v>
      </c>
      <c r="B3" s="41">
        <v>4.33</v>
      </c>
      <c r="C3" s="41" t="s">
        <v>167</v>
      </c>
      <c r="D3" s="41" t="s">
        <v>168</v>
      </c>
      <c r="E3" s="41" t="s">
        <v>169</v>
      </c>
      <c r="F3" s="41" t="s">
        <v>170</v>
      </c>
      <c r="G3" s="41" t="s">
        <v>171</v>
      </c>
      <c r="H3" s="41" t="s">
        <v>172</v>
      </c>
      <c r="I3" s="41" t="s">
        <v>173</v>
      </c>
      <c r="J3" s="41" t="s">
        <v>174</v>
      </c>
      <c r="K3" s="41" t="s">
        <v>175</v>
      </c>
      <c r="L3" s="41" t="s">
        <v>173</v>
      </c>
    </row>
    <row r="4">
      <c r="A4" s="41" t="s">
        <v>176</v>
      </c>
      <c r="B4" s="41">
        <v>1.0</v>
      </c>
      <c r="C4" s="41" t="s">
        <v>177</v>
      </c>
      <c r="D4" s="41" t="s">
        <v>178</v>
      </c>
      <c r="E4" s="41" t="s">
        <v>179</v>
      </c>
      <c r="F4" s="41" t="s">
        <v>180</v>
      </c>
      <c r="G4" s="41" t="s">
        <v>181</v>
      </c>
      <c r="H4" s="41" t="s">
        <v>182</v>
      </c>
      <c r="I4" s="41" t="s">
        <v>183</v>
      </c>
      <c r="J4" s="41" t="s">
        <v>184</v>
      </c>
      <c r="K4" s="41" t="s">
        <v>185</v>
      </c>
    </row>
    <row r="5">
      <c r="A5" s="41" t="s">
        <v>186</v>
      </c>
      <c r="B5" s="41">
        <v>0.08333333333333333</v>
      </c>
      <c r="E5" s="41" t="s">
        <v>187</v>
      </c>
      <c r="F5" s="41" t="s">
        <v>188</v>
      </c>
      <c r="H5" s="41" t="s">
        <v>189</v>
      </c>
      <c r="K5" s="41" t="s">
        <v>190</v>
      </c>
    </row>
    <row r="6">
      <c r="E6" s="41" t="s">
        <v>191</v>
      </c>
      <c r="F6" s="41" t="s">
        <v>183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